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uly\Dropbox\Codes and Dataset\"/>
    </mc:Choice>
  </mc:AlternateContent>
  <xr:revisionPtr revIDLastSave="0" documentId="13_ncr:1_{181A4F7F-7885-4B61-B797-0C9358B0FC6E}" xr6:coauthVersionLast="47" xr6:coauthVersionMax="47" xr10:uidLastSave="{00000000-0000-0000-0000-000000000000}"/>
  <bookViews>
    <workbookView xWindow="28695" yWindow="0" windowWidth="29010" windowHeight="15585" tabRatio="810" firstSheet="7" activeTab="24" xr2:uid="{00000000-000D-0000-FFFF-FFFF00000000}"/>
  </bookViews>
  <sheets>
    <sheet name="0.1_O2" sheetId="1" r:id="rId1"/>
    <sheet name="0.2_O2" sheetId="2" r:id="rId2"/>
    <sheet name="0.4_O2" sheetId="3" r:id="rId3"/>
    <sheet name="0.5_O2" sheetId="4" r:id="rId4"/>
    <sheet name="0.6_O2" sheetId="5" r:id="rId5"/>
    <sheet name="0.8_O2" sheetId="6" r:id="rId6"/>
    <sheet name="1.0_O2" sheetId="7" r:id="rId7"/>
    <sheet name="0.1_All" sheetId="8" r:id="rId8"/>
    <sheet name="0.2_All" sheetId="9" r:id="rId9"/>
    <sheet name="0.4_All" sheetId="10" r:id="rId10"/>
    <sheet name="0.5_All" sheetId="17" r:id="rId11"/>
    <sheet name="0.6_All" sheetId="19" r:id="rId12"/>
    <sheet name="0.8_All" sheetId="20" r:id="rId13"/>
    <sheet name="1.0_All" sheetId="21" r:id="rId14"/>
    <sheet name="Data" sheetId="30" r:id="rId15"/>
    <sheet name="0.1_O2N" sheetId="22" r:id="rId16"/>
    <sheet name="0.25_O2N" sheetId="23" r:id="rId17"/>
    <sheet name="0.5_O2N" sheetId="24" r:id="rId18"/>
    <sheet name="0.75_O2N" sheetId="25" r:id="rId19"/>
    <sheet name="1.0_O2N" sheetId="26" r:id="rId20"/>
    <sheet name="0.5_AllN" sheetId="28" r:id="rId21"/>
    <sheet name="0.75_AllN" sheetId="29" r:id="rId22"/>
    <sheet name="1.0_AllN" sheetId="31" r:id="rId23"/>
    <sheet name="0.1_AllN" sheetId="32" r:id="rId24"/>
    <sheet name="0.25_AllN" sheetId="33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1" l="1"/>
  <c r="D4" i="31"/>
  <c r="D5" i="31"/>
  <c r="D6" i="31"/>
  <c r="D7" i="31"/>
  <c r="D8" i="31"/>
  <c r="D2" i="31"/>
  <c r="D3" i="29"/>
  <c r="D4" i="29"/>
  <c r="D5" i="29"/>
  <c r="D2" i="29"/>
  <c r="D3" i="28"/>
  <c r="D2" i="28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2" i="26"/>
  <c r="D3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" i="25"/>
  <c r="D3" i="24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2" i="24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" i="23"/>
  <c r="D3" i="22"/>
  <c r="D4" i="22"/>
  <c r="D5" i="22"/>
  <c r="D6" i="22"/>
  <c r="D2" i="22"/>
  <c r="O55" i="30"/>
  <c r="M55" i="30"/>
  <c r="K55" i="30"/>
  <c r="O54" i="30"/>
  <c r="K54" i="30"/>
  <c r="M54" i="30" s="1"/>
  <c r="O53" i="30"/>
  <c r="M53" i="30"/>
  <c r="K53" i="30"/>
  <c r="O52" i="30"/>
  <c r="K52" i="30"/>
  <c r="M52" i="30" s="1"/>
  <c r="O51" i="30"/>
  <c r="K51" i="30"/>
  <c r="M51" i="30" s="1"/>
  <c r="O50" i="30"/>
  <c r="K50" i="30"/>
  <c r="M50" i="30" s="1"/>
  <c r="O49" i="30"/>
  <c r="M49" i="30"/>
  <c r="K49" i="30"/>
  <c r="O48" i="30"/>
  <c r="K48" i="30"/>
  <c r="M48" i="30" s="1"/>
  <c r="O47" i="30"/>
  <c r="K47" i="30"/>
  <c r="M47" i="30" s="1"/>
  <c r="O46" i="30"/>
  <c r="K46" i="30"/>
  <c r="M46" i="30" s="1"/>
  <c r="O45" i="30"/>
  <c r="K45" i="30"/>
  <c r="M45" i="30" s="1"/>
  <c r="O44" i="30"/>
  <c r="K44" i="30"/>
  <c r="M44" i="30" s="1"/>
  <c r="O43" i="30"/>
  <c r="K43" i="30"/>
  <c r="M43" i="30" s="1"/>
  <c r="O42" i="30"/>
  <c r="K42" i="30"/>
  <c r="M42" i="30" s="1"/>
  <c r="O41" i="30"/>
  <c r="M41" i="30"/>
  <c r="K41" i="30"/>
  <c r="O40" i="30"/>
  <c r="K40" i="30"/>
  <c r="M40" i="30" s="1"/>
  <c r="O39" i="30"/>
  <c r="K39" i="30"/>
  <c r="M39" i="30" s="1"/>
  <c r="O38" i="30"/>
  <c r="K38" i="30"/>
  <c r="M38" i="30" s="1"/>
  <c r="O37" i="30"/>
  <c r="K37" i="30"/>
  <c r="M37" i="30" s="1"/>
  <c r="O36" i="30"/>
  <c r="K36" i="30"/>
  <c r="M36" i="30" s="1"/>
  <c r="O35" i="30"/>
  <c r="K35" i="30"/>
  <c r="M35" i="30" s="1"/>
  <c r="O34" i="30"/>
  <c r="K34" i="30"/>
  <c r="M34" i="30" s="1"/>
  <c r="O33" i="30"/>
  <c r="K33" i="30"/>
  <c r="M33" i="30" s="1"/>
  <c r="O32" i="30"/>
  <c r="K32" i="30"/>
  <c r="M32" i="30" s="1"/>
  <c r="O31" i="30"/>
  <c r="K31" i="30"/>
  <c r="M31" i="30" s="1"/>
  <c r="O30" i="30"/>
  <c r="K30" i="30"/>
  <c r="M30" i="30" s="1"/>
  <c r="K29" i="30"/>
  <c r="M29" i="30" s="1"/>
  <c r="O28" i="30"/>
  <c r="K28" i="30"/>
  <c r="M28" i="30" s="1"/>
  <c r="O27" i="30"/>
  <c r="K27" i="30"/>
  <c r="M27" i="30" s="1"/>
  <c r="O26" i="30"/>
  <c r="M26" i="30"/>
  <c r="K26" i="30"/>
  <c r="O25" i="30"/>
  <c r="K25" i="30"/>
  <c r="M25" i="30" s="1"/>
  <c r="O24" i="30"/>
  <c r="K24" i="30"/>
  <c r="M24" i="30" s="1"/>
  <c r="O23" i="30"/>
  <c r="K23" i="30"/>
  <c r="M23" i="30" s="1"/>
  <c r="O22" i="30"/>
  <c r="K22" i="30"/>
  <c r="M22" i="30" s="1"/>
  <c r="O21" i="30"/>
  <c r="K21" i="30"/>
  <c r="M21" i="30" s="1"/>
  <c r="O20" i="30"/>
  <c r="K20" i="30"/>
  <c r="M20" i="30" s="1"/>
  <c r="O19" i="30"/>
  <c r="K19" i="30"/>
  <c r="M19" i="30" s="1"/>
  <c r="O18" i="30"/>
  <c r="K18" i="30"/>
  <c r="M18" i="30" s="1"/>
  <c r="O17" i="30"/>
  <c r="K17" i="30"/>
  <c r="M17" i="30" s="1"/>
  <c r="O16" i="30"/>
  <c r="K16" i="30"/>
  <c r="M16" i="30" s="1"/>
  <c r="O15" i="30"/>
  <c r="K15" i="30"/>
  <c r="M15" i="30" s="1"/>
  <c r="O14" i="30"/>
  <c r="K14" i="30"/>
  <c r="M14" i="30" s="1"/>
  <c r="O13" i="30"/>
  <c r="K13" i="30"/>
  <c r="M13" i="30" s="1"/>
  <c r="O12" i="30"/>
  <c r="K12" i="30"/>
  <c r="M12" i="30" s="1"/>
  <c r="O11" i="30"/>
  <c r="K11" i="30"/>
  <c r="M11" i="30" s="1"/>
  <c r="O10" i="30"/>
  <c r="K10" i="30"/>
  <c r="M10" i="30" s="1"/>
  <c r="O9" i="30"/>
  <c r="K9" i="30"/>
  <c r="M9" i="30" s="1"/>
  <c r="O8" i="30"/>
  <c r="K8" i="30"/>
  <c r="M8" i="30" s="1"/>
  <c r="O7" i="30"/>
  <c r="K7" i="30"/>
  <c r="M7" i="30" s="1"/>
  <c r="O6" i="30"/>
  <c r="K6" i="30"/>
  <c r="M6" i="30" s="1"/>
  <c r="O5" i="30"/>
  <c r="K5" i="30"/>
  <c r="M5" i="30" s="1"/>
  <c r="O4" i="30"/>
  <c r="M4" i="30"/>
  <c r="K4" i="30"/>
  <c r="O3" i="30"/>
  <c r="K3" i="30"/>
  <c r="M3" i="30" s="1"/>
  <c r="O2" i="30"/>
  <c r="K2" i="30"/>
  <c r="M2" i="30" s="1"/>
  <c r="C3" i="21"/>
  <c r="D3" i="21" s="1"/>
  <c r="C4" i="21"/>
  <c r="D4" i="21" s="1"/>
  <c r="C5" i="21"/>
  <c r="D5" i="21" s="1"/>
  <c r="C6" i="21"/>
  <c r="D6" i="21" s="1"/>
  <c r="C7" i="21"/>
  <c r="D7" i="21" s="1"/>
  <c r="C8" i="21"/>
  <c r="D8" i="21" s="1"/>
  <c r="C9" i="21"/>
  <c r="D9" i="21" s="1"/>
  <c r="C10" i="21"/>
  <c r="D10" i="21" s="1"/>
  <c r="C11" i="21"/>
  <c r="D11" i="21" s="1"/>
  <c r="C12" i="21"/>
  <c r="D12" i="21" s="1"/>
  <c r="C13" i="21"/>
  <c r="D13" i="21" s="1"/>
  <c r="C14" i="21"/>
  <c r="D14" i="21" s="1"/>
  <c r="C15" i="21"/>
  <c r="D15" i="21" s="1"/>
  <c r="C16" i="21"/>
  <c r="D16" i="21" s="1"/>
  <c r="C17" i="21"/>
  <c r="D17" i="21" s="1"/>
  <c r="C18" i="21"/>
  <c r="D18" i="21" s="1"/>
  <c r="C19" i="21"/>
  <c r="D19" i="21" s="1"/>
  <c r="C20" i="21"/>
  <c r="D20" i="21" s="1"/>
  <c r="C21" i="21"/>
  <c r="D21" i="21" s="1"/>
  <c r="C22" i="21"/>
  <c r="D22" i="21" s="1"/>
  <c r="C23" i="21"/>
  <c r="D23" i="21" s="1"/>
  <c r="C24" i="21"/>
  <c r="D24" i="21" s="1"/>
  <c r="C25" i="21"/>
  <c r="D25" i="21" s="1"/>
  <c r="C26" i="21"/>
  <c r="D26" i="21" s="1"/>
  <c r="C27" i="21"/>
  <c r="D27" i="21" s="1"/>
  <c r="C28" i="21"/>
  <c r="D28" i="21" s="1"/>
  <c r="C29" i="21"/>
  <c r="D29" i="21" s="1"/>
  <c r="C30" i="21"/>
  <c r="D30" i="21" s="1"/>
  <c r="C31" i="21"/>
  <c r="D31" i="21" s="1"/>
  <c r="C32" i="21"/>
  <c r="D32" i="21" s="1"/>
  <c r="C33" i="21"/>
  <c r="D33" i="21" s="1"/>
  <c r="C34" i="21"/>
  <c r="D34" i="21" s="1"/>
  <c r="C35" i="21"/>
  <c r="D35" i="21" s="1"/>
  <c r="C36" i="21"/>
  <c r="D36" i="21" s="1"/>
  <c r="C37" i="21"/>
  <c r="D37" i="21" s="1"/>
  <c r="C38" i="21"/>
  <c r="D38" i="21" s="1"/>
  <c r="C39" i="21"/>
  <c r="D39" i="21" s="1"/>
  <c r="C40" i="21"/>
  <c r="D40" i="21" s="1"/>
  <c r="C41" i="21"/>
  <c r="D41" i="21" s="1"/>
  <c r="C42" i="21"/>
  <c r="D42" i="21" s="1"/>
  <c r="C43" i="21"/>
  <c r="D43" i="21" s="1"/>
  <c r="C44" i="21"/>
  <c r="D44" i="21" s="1"/>
  <c r="C45" i="21"/>
  <c r="D45" i="21" s="1"/>
  <c r="C46" i="21"/>
  <c r="D46" i="21" s="1"/>
  <c r="C2" i="21"/>
  <c r="D2" i="21" s="1"/>
  <c r="D7" i="20"/>
  <c r="D9" i="20"/>
  <c r="D29" i="20"/>
  <c r="D31" i="20"/>
  <c r="D36" i="20"/>
  <c r="D40" i="20"/>
  <c r="D41" i="20"/>
  <c r="D42" i="20"/>
  <c r="C3" i="20"/>
  <c r="D3" i="20" s="1"/>
  <c r="C4" i="20"/>
  <c r="D4" i="20" s="1"/>
  <c r="C5" i="20"/>
  <c r="D5" i="20" s="1"/>
  <c r="C6" i="20"/>
  <c r="D6" i="20" s="1"/>
  <c r="C7" i="20"/>
  <c r="C8" i="20"/>
  <c r="D8" i="20" s="1"/>
  <c r="C9" i="20"/>
  <c r="C10" i="20"/>
  <c r="D10" i="20" s="1"/>
  <c r="C11" i="20"/>
  <c r="D11" i="20" s="1"/>
  <c r="C12" i="20"/>
  <c r="D12" i="20" s="1"/>
  <c r="C13" i="20"/>
  <c r="D13" i="20" s="1"/>
  <c r="C14" i="20"/>
  <c r="D14" i="20" s="1"/>
  <c r="C15" i="20"/>
  <c r="D15" i="20" s="1"/>
  <c r="C16" i="20"/>
  <c r="D16" i="20" s="1"/>
  <c r="C17" i="20"/>
  <c r="D17" i="20" s="1"/>
  <c r="C18" i="20"/>
  <c r="D18" i="20" s="1"/>
  <c r="C19" i="20"/>
  <c r="D19" i="20" s="1"/>
  <c r="C20" i="20"/>
  <c r="D20" i="20" s="1"/>
  <c r="C21" i="20"/>
  <c r="D21" i="20" s="1"/>
  <c r="C22" i="20"/>
  <c r="D22" i="20" s="1"/>
  <c r="C23" i="20"/>
  <c r="D23" i="20" s="1"/>
  <c r="C24" i="20"/>
  <c r="D24" i="20" s="1"/>
  <c r="C25" i="20"/>
  <c r="D25" i="20" s="1"/>
  <c r="C26" i="20"/>
  <c r="D26" i="20" s="1"/>
  <c r="C27" i="20"/>
  <c r="D27" i="20" s="1"/>
  <c r="C28" i="20"/>
  <c r="D28" i="20" s="1"/>
  <c r="C29" i="20"/>
  <c r="C30" i="20"/>
  <c r="D30" i="20" s="1"/>
  <c r="C31" i="20"/>
  <c r="C32" i="20"/>
  <c r="D32" i="20" s="1"/>
  <c r="C33" i="20"/>
  <c r="D33" i="20" s="1"/>
  <c r="C34" i="20"/>
  <c r="D34" i="20" s="1"/>
  <c r="C35" i="20"/>
  <c r="D35" i="20" s="1"/>
  <c r="C36" i="20"/>
  <c r="C37" i="20"/>
  <c r="D37" i="20" s="1"/>
  <c r="C38" i="20"/>
  <c r="D38" i="20" s="1"/>
  <c r="C39" i="20"/>
  <c r="D39" i="20" s="1"/>
  <c r="C40" i="20"/>
  <c r="C41" i="20"/>
  <c r="C42" i="20"/>
  <c r="C43" i="20"/>
  <c r="D43" i="20" s="1"/>
  <c r="C44" i="20"/>
  <c r="D44" i="20" s="1"/>
  <c r="C45" i="20"/>
  <c r="D45" i="20" s="1"/>
  <c r="C2" i="20"/>
  <c r="D2" i="20" s="1"/>
  <c r="D39" i="19"/>
  <c r="D2" i="19"/>
  <c r="C3" i="19"/>
  <c r="D3" i="19" s="1"/>
  <c r="C4" i="19"/>
  <c r="D4" i="19" s="1"/>
  <c r="C5" i="19"/>
  <c r="D5" i="19" s="1"/>
  <c r="C6" i="19"/>
  <c r="D6" i="19" s="1"/>
  <c r="C7" i="19"/>
  <c r="D7" i="19" s="1"/>
  <c r="C8" i="19"/>
  <c r="D8" i="19" s="1"/>
  <c r="C9" i="19"/>
  <c r="D9" i="19" s="1"/>
  <c r="C10" i="19"/>
  <c r="D10" i="19" s="1"/>
  <c r="C11" i="19"/>
  <c r="D11" i="19" s="1"/>
  <c r="C12" i="19"/>
  <c r="D12" i="19" s="1"/>
  <c r="C13" i="19"/>
  <c r="D13" i="19" s="1"/>
  <c r="C14" i="19"/>
  <c r="D14" i="19" s="1"/>
  <c r="C15" i="19"/>
  <c r="D15" i="19" s="1"/>
  <c r="C16" i="19"/>
  <c r="D16" i="19" s="1"/>
  <c r="C17" i="19"/>
  <c r="D17" i="19" s="1"/>
  <c r="C18" i="19"/>
  <c r="D18" i="19" s="1"/>
  <c r="C19" i="19"/>
  <c r="D19" i="19" s="1"/>
  <c r="C20" i="19"/>
  <c r="D20" i="19" s="1"/>
  <c r="C21" i="19"/>
  <c r="D21" i="19" s="1"/>
  <c r="C22" i="19"/>
  <c r="D22" i="19" s="1"/>
  <c r="C23" i="19"/>
  <c r="D23" i="19" s="1"/>
  <c r="C24" i="19"/>
  <c r="D24" i="19" s="1"/>
  <c r="C25" i="19"/>
  <c r="D25" i="19" s="1"/>
  <c r="C26" i="19"/>
  <c r="D26" i="19" s="1"/>
  <c r="C27" i="19"/>
  <c r="D27" i="19" s="1"/>
  <c r="C28" i="19"/>
  <c r="D28" i="19" s="1"/>
  <c r="C29" i="19"/>
  <c r="D29" i="19" s="1"/>
  <c r="C30" i="19"/>
  <c r="D30" i="19" s="1"/>
  <c r="C31" i="19"/>
  <c r="D31" i="19" s="1"/>
  <c r="C32" i="19"/>
  <c r="D32" i="19" s="1"/>
  <c r="C33" i="19"/>
  <c r="D33" i="19" s="1"/>
  <c r="C34" i="19"/>
  <c r="D34" i="19" s="1"/>
  <c r="C35" i="19"/>
  <c r="D35" i="19" s="1"/>
  <c r="C36" i="19"/>
  <c r="D36" i="19" s="1"/>
  <c r="C37" i="19"/>
  <c r="D37" i="19" s="1"/>
  <c r="C38" i="19"/>
  <c r="D38" i="19" s="1"/>
  <c r="C39" i="19"/>
  <c r="C2" i="19"/>
  <c r="D33" i="17"/>
  <c r="D34" i="17"/>
  <c r="C5" i="17"/>
  <c r="D5" i="17" s="1"/>
  <c r="C6" i="17"/>
  <c r="D6" i="17" s="1"/>
  <c r="C7" i="17"/>
  <c r="D7" i="17" s="1"/>
  <c r="C8" i="17"/>
  <c r="D8" i="17" s="1"/>
  <c r="C9" i="17"/>
  <c r="D9" i="17" s="1"/>
  <c r="C10" i="17"/>
  <c r="D10" i="17" s="1"/>
  <c r="C11" i="17"/>
  <c r="D11" i="17" s="1"/>
  <c r="C12" i="17"/>
  <c r="D12" i="17" s="1"/>
  <c r="C13" i="17"/>
  <c r="D13" i="17" s="1"/>
  <c r="C14" i="17"/>
  <c r="D14" i="17" s="1"/>
  <c r="C15" i="17"/>
  <c r="D15" i="17" s="1"/>
  <c r="C16" i="17"/>
  <c r="D16" i="17" s="1"/>
  <c r="C17" i="17"/>
  <c r="D17" i="17" s="1"/>
  <c r="C18" i="17"/>
  <c r="D18" i="17" s="1"/>
  <c r="C19" i="17"/>
  <c r="D19" i="17" s="1"/>
  <c r="C20" i="17"/>
  <c r="D20" i="17" s="1"/>
  <c r="C21" i="17"/>
  <c r="D21" i="17" s="1"/>
  <c r="C22" i="17"/>
  <c r="D22" i="17" s="1"/>
  <c r="C23" i="17"/>
  <c r="D23" i="17" s="1"/>
  <c r="C24" i="17"/>
  <c r="D24" i="17" s="1"/>
  <c r="C25" i="17"/>
  <c r="D25" i="17" s="1"/>
  <c r="C26" i="17"/>
  <c r="D26" i="17" s="1"/>
  <c r="C27" i="17"/>
  <c r="D27" i="17" s="1"/>
  <c r="C28" i="17"/>
  <c r="D28" i="17" s="1"/>
  <c r="C29" i="17"/>
  <c r="D29" i="17" s="1"/>
  <c r="C30" i="17"/>
  <c r="D30" i="17" s="1"/>
  <c r="C31" i="17"/>
  <c r="D31" i="17" s="1"/>
  <c r="C32" i="17"/>
  <c r="D32" i="17" s="1"/>
  <c r="C33" i="17"/>
  <c r="C34" i="17"/>
  <c r="C35" i="17"/>
  <c r="D35" i="17" s="1"/>
  <c r="C36" i="17"/>
  <c r="D36" i="17" s="1"/>
  <c r="C37" i="17"/>
  <c r="D37" i="17" s="1"/>
  <c r="C3" i="17"/>
  <c r="D3" i="17" s="1"/>
  <c r="C4" i="17"/>
  <c r="D4" i="17" s="1"/>
  <c r="C2" i="17"/>
  <c r="D2" i="17" s="1"/>
  <c r="C33" i="10"/>
  <c r="D33" i="10" s="1"/>
  <c r="C32" i="10"/>
  <c r="D32" i="10" s="1"/>
  <c r="C31" i="10"/>
  <c r="D31" i="10" s="1"/>
  <c r="C30" i="10"/>
  <c r="D30" i="10" s="1"/>
  <c r="C29" i="10"/>
  <c r="D29" i="10" s="1"/>
  <c r="C28" i="10"/>
  <c r="D28" i="10" s="1"/>
  <c r="C27" i="10"/>
  <c r="D27" i="10" s="1"/>
  <c r="C26" i="10"/>
  <c r="D26" i="10" s="1"/>
  <c r="C25" i="10"/>
  <c r="D25" i="10" s="1"/>
  <c r="C24" i="10"/>
  <c r="D24" i="10" s="1"/>
  <c r="C23" i="10"/>
  <c r="D23" i="10" s="1"/>
  <c r="C22" i="10"/>
  <c r="D22" i="10" s="1"/>
  <c r="C21" i="10"/>
  <c r="D21" i="10" s="1"/>
  <c r="C20" i="10"/>
  <c r="D20" i="10" s="1"/>
  <c r="C19" i="10"/>
  <c r="D19" i="10" s="1"/>
  <c r="C18" i="10"/>
  <c r="D18" i="10" s="1"/>
  <c r="C17" i="10"/>
  <c r="D17" i="10" s="1"/>
  <c r="C16" i="10"/>
  <c r="D16" i="10" s="1"/>
  <c r="C15" i="10"/>
  <c r="D15" i="10" s="1"/>
  <c r="C14" i="10"/>
  <c r="D14" i="10" s="1"/>
  <c r="C13" i="10"/>
  <c r="D13" i="10" s="1"/>
  <c r="C12" i="10"/>
  <c r="D12" i="10" s="1"/>
  <c r="C11" i="10"/>
  <c r="D11" i="10" s="1"/>
  <c r="C10" i="10"/>
  <c r="D10" i="10" s="1"/>
  <c r="C9" i="10"/>
  <c r="D9" i="10" s="1"/>
  <c r="C8" i="10"/>
  <c r="D8" i="10" s="1"/>
  <c r="C7" i="10"/>
  <c r="D7" i="10" s="1"/>
  <c r="C6" i="10"/>
  <c r="D6" i="10" s="1"/>
  <c r="C5" i="10"/>
  <c r="D5" i="10" s="1"/>
  <c r="C4" i="10"/>
  <c r="D4" i="10" s="1"/>
  <c r="C3" i="10"/>
  <c r="D3" i="10" s="1"/>
  <c r="C2" i="10"/>
  <c r="D2" i="10" s="1"/>
  <c r="C22" i="9"/>
  <c r="D22" i="9" s="1"/>
  <c r="C21" i="9"/>
  <c r="D21" i="9" s="1"/>
  <c r="C20" i="9"/>
  <c r="D20" i="9" s="1"/>
  <c r="C19" i="9"/>
  <c r="D19" i="9" s="1"/>
  <c r="C18" i="9"/>
  <c r="D18" i="9" s="1"/>
  <c r="C17" i="9"/>
  <c r="D17" i="9" s="1"/>
  <c r="C16" i="9"/>
  <c r="D16" i="9" s="1"/>
  <c r="C15" i="9"/>
  <c r="D15" i="9" s="1"/>
  <c r="C14" i="9"/>
  <c r="D14" i="9" s="1"/>
  <c r="C13" i="9"/>
  <c r="D13" i="9" s="1"/>
  <c r="C12" i="9"/>
  <c r="D12" i="9" s="1"/>
  <c r="C11" i="9"/>
  <c r="D11" i="9" s="1"/>
  <c r="C10" i="9"/>
  <c r="D10" i="9" s="1"/>
  <c r="C9" i="9"/>
  <c r="D9" i="9" s="1"/>
  <c r="C8" i="9"/>
  <c r="D8" i="9" s="1"/>
  <c r="C7" i="9"/>
  <c r="D7" i="9" s="1"/>
  <c r="C6" i="9"/>
  <c r="D6" i="9" s="1"/>
  <c r="C5" i="9"/>
  <c r="D5" i="9" s="1"/>
  <c r="C4" i="9"/>
  <c r="D4" i="9" s="1"/>
  <c r="C3" i="9"/>
  <c r="D3" i="9" s="1"/>
  <c r="C2" i="9"/>
  <c r="D2" i="9" s="1"/>
  <c r="C20" i="8"/>
  <c r="D20" i="8" s="1"/>
  <c r="C19" i="8"/>
  <c r="D19" i="8" s="1"/>
  <c r="C18" i="8"/>
  <c r="D18" i="8" s="1"/>
  <c r="C17" i="8"/>
  <c r="D17" i="8" s="1"/>
  <c r="C16" i="8"/>
  <c r="D16" i="8" s="1"/>
  <c r="C15" i="8"/>
  <c r="D15" i="8" s="1"/>
  <c r="C14" i="8"/>
  <c r="D14" i="8" s="1"/>
  <c r="C13" i="8"/>
  <c r="D13" i="8" s="1"/>
  <c r="C12" i="8"/>
  <c r="D12" i="8" s="1"/>
  <c r="C11" i="8"/>
  <c r="D11" i="8" s="1"/>
  <c r="C10" i="8"/>
  <c r="D10" i="8" s="1"/>
  <c r="C9" i="8"/>
  <c r="D9" i="8" s="1"/>
  <c r="C8" i="8"/>
  <c r="D8" i="8" s="1"/>
  <c r="C7" i="8"/>
  <c r="D7" i="8" s="1"/>
  <c r="C6" i="8"/>
  <c r="D6" i="8" s="1"/>
  <c r="C5" i="8"/>
  <c r="D5" i="8" s="1"/>
  <c r="C4" i="8"/>
  <c r="D4" i="8" s="1"/>
  <c r="C3" i="8"/>
  <c r="D3" i="8" s="1"/>
  <c r="C2" i="8"/>
  <c r="D2" i="8" s="1"/>
  <c r="C48" i="7"/>
  <c r="D48" i="7" s="1"/>
  <c r="C47" i="7"/>
  <c r="D47" i="7" s="1"/>
  <c r="C46" i="7"/>
  <c r="D46" i="7" s="1"/>
  <c r="C45" i="7"/>
  <c r="D45" i="7" s="1"/>
  <c r="C44" i="7"/>
  <c r="D44" i="7" s="1"/>
  <c r="C43" i="7"/>
  <c r="D43" i="7" s="1"/>
  <c r="C42" i="7"/>
  <c r="D42" i="7" s="1"/>
  <c r="C41" i="7"/>
  <c r="D41" i="7" s="1"/>
  <c r="C40" i="7"/>
  <c r="D40" i="7" s="1"/>
  <c r="C39" i="7"/>
  <c r="D39" i="7" s="1"/>
  <c r="C38" i="7"/>
  <c r="D38" i="7" s="1"/>
  <c r="C37" i="7"/>
  <c r="D37" i="7" s="1"/>
  <c r="C36" i="7"/>
  <c r="D36" i="7" s="1"/>
  <c r="C35" i="7"/>
  <c r="D35" i="7" s="1"/>
  <c r="C34" i="7"/>
  <c r="D34" i="7" s="1"/>
  <c r="C33" i="7"/>
  <c r="D33" i="7" s="1"/>
  <c r="C32" i="7"/>
  <c r="D32" i="7" s="1"/>
  <c r="C31" i="7"/>
  <c r="D31" i="7" s="1"/>
  <c r="C30" i="7"/>
  <c r="D30" i="7" s="1"/>
  <c r="C29" i="7"/>
  <c r="D29" i="7" s="1"/>
  <c r="C28" i="7"/>
  <c r="D28" i="7" s="1"/>
  <c r="C27" i="7"/>
  <c r="D27" i="7" s="1"/>
  <c r="C26" i="7"/>
  <c r="D26" i="7" s="1"/>
  <c r="C25" i="7"/>
  <c r="D25" i="7" s="1"/>
  <c r="C24" i="7"/>
  <c r="D24" i="7" s="1"/>
  <c r="C23" i="7"/>
  <c r="D23" i="7" s="1"/>
  <c r="C22" i="7"/>
  <c r="D22" i="7" s="1"/>
  <c r="C21" i="7"/>
  <c r="D21" i="7" s="1"/>
  <c r="C20" i="7"/>
  <c r="D20" i="7" s="1"/>
  <c r="C19" i="7"/>
  <c r="D19" i="7" s="1"/>
  <c r="C18" i="7"/>
  <c r="D18" i="7" s="1"/>
  <c r="C17" i="7"/>
  <c r="D17" i="7" s="1"/>
  <c r="C16" i="7"/>
  <c r="D16" i="7" s="1"/>
  <c r="C15" i="7"/>
  <c r="D15" i="7" s="1"/>
  <c r="C14" i="7"/>
  <c r="D14" i="7" s="1"/>
  <c r="C13" i="7"/>
  <c r="D13" i="7" s="1"/>
  <c r="C12" i="7"/>
  <c r="D12" i="7" s="1"/>
  <c r="C11" i="7"/>
  <c r="D11" i="7" s="1"/>
  <c r="C10" i="7"/>
  <c r="D10" i="7" s="1"/>
  <c r="C9" i="7"/>
  <c r="D9" i="7" s="1"/>
  <c r="C8" i="7"/>
  <c r="D8" i="7" s="1"/>
  <c r="C7" i="7"/>
  <c r="D7" i="7" s="1"/>
  <c r="C6" i="7"/>
  <c r="D6" i="7" s="1"/>
  <c r="C5" i="7"/>
  <c r="D5" i="7" s="1"/>
  <c r="C4" i="7"/>
  <c r="D4" i="7" s="1"/>
  <c r="C3" i="7"/>
  <c r="D3" i="7" s="1"/>
  <c r="C2" i="7"/>
  <c r="D2" i="7" s="1"/>
  <c r="C46" i="6"/>
  <c r="D46" i="6" s="1"/>
  <c r="C45" i="6"/>
  <c r="D45" i="6" s="1"/>
  <c r="C44" i="6"/>
  <c r="D44" i="6" s="1"/>
  <c r="C43" i="6"/>
  <c r="D43" i="6" s="1"/>
  <c r="C42" i="6"/>
  <c r="D42" i="6" s="1"/>
  <c r="C41" i="6"/>
  <c r="D41" i="6" s="1"/>
  <c r="C40" i="6"/>
  <c r="D40" i="6" s="1"/>
  <c r="C39" i="6"/>
  <c r="D39" i="6" s="1"/>
  <c r="C38" i="6"/>
  <c r="D38" i="6" s="1"/>
  <c r="C37" i="6"/>
  <c r="D37" i="6" s="1"/>
  <c r="C36" i="6"/>
  <c r="D36" i="6" s="1"/>
  <c r="C35" i="6"/>
  <c r="D35" i="6" s="1"/>
  <c r="C34" i="6"/>
  <c r="D34" i="6" s="1"/>
  <c r="C33" i="6"/>
  <c r="D33" i="6" s="1"/>
  <c r="C32" i="6"/>
  <c r="D32" i="6" s="1"/>
  <c r="C31" i="6"/>
  <c r="D31" i="6" s="1"/>
  <c r="C30" i="6"/>
  <c r="D30" i="6" s="1"/>
  <c r="C29" i="6"/>
  <c r="D29" i="6" s="1"/>
  <c r="C28" i="6"/>
  <c r="D28" i="6" s="1"/>
  <c r="C27" i="6"/>
  <c r="D27" i="6" s="1"/>
  <c r="C26" i="6"/>
  <c r="D26" i="6" s="1"/>
  <c r="C25" i="6"/>
  <c r="D25" i="6" s="1"/>
  <c r="C24" i="6"/>
  <c r="D24" i="6" s="1"/>
  <c r="C23" i="6"/>
  <c r="D23" i="6" s="1"/>
  <c r="C22" i="6"/>
  <c r="D22" i="6" s="1"/>
  <c r="C21" i="6"/>
  <c r="D21" i="6" s="1"/>
  <c r="C20" i="6"/>
  <c r="D20" i="6" s="1"/>
  <c r="C19" i="6"/>
  <c r="D19" i="6" s="1"/>
  <c r="C18" i="6"/>
  <c r="D18" i="6" s="1"/>
  <c r="C17" i="6"/>
  <c r="D17" i="6" s="1"/>
  <c r="C16" i="6"/>
  <c r="D16" i="6" s="1"/>
  <c r="C15" i="6"/>
  <c r="D15" i="6" s="1"/>
  <c r="C14" i="6"/>
  <c r="D14" i="6" s="1"/>
  <c r="C13" i="6"/>
  <c r="D13" i="6" s="1"/>
  <c r="C12" i="6"/>
  <c r="D12" i="6" s="1"/>
  <c r="C11" i="6"/>
  <c r="D11" i="6" s="1"/>
  <c r="D10" i="6"/>
  <c r="C10" i="6"/>
  <c r="C9" i="6"/>
  <c r="D9" i="6" s="1"/>
  <c r="C8" i="6"/>
  <c r="D8" i="6" s="1"/>
  <c r="C7" i="6"/>
  <c r="D7" i="6" s="1"/>
  <c r="C6" i="6"/>
  <c r="D6" i="6" s="1"/>
  <c r="C5" i="6"/>
  <c r="D5" i="6" s="1"/>
  <c r="C4" i="6"/>
  <c r="D4" i="6" s="1"/>
  <c r="C3" i="6"/>
  <c r="D3" i="6" s="1"/>
  <c r="C2" i="6"/>
  <c r="D2" i="6" s="1"/>
  <c r="C46" i="5"/>
  <c r="D46" i="5" s="1"/>
  <c r="C45" i="5"/>
  <c r="D45" i="5" s="1"/>
  <c r="C44" i="5"/>
  <c r="D44" i="5" s="1"/>
  <c r="C43" i="5"/>
  <c r="D43" i="5" s="1"/>
  <c r="C42" i="5"/>
  <c r="D42" i="5" s="1"/>
  <c r="C41" i="5"/>
  <c r="D41" i="5" s="1"/>
  <c r="C40" i="5"/>
  <c r="D40" i="5" s="1"/>
  <c r="C39" i="5"/>
  <c r="D39" i="5" s="1"/>
  <c r="C38" i="5"/>
  <c r="D38" i="5" s="1"/>
  <c r="C37" i="5"/>
  <c r="D37" i="5" s="1"/>
  <c r="C36" i="5"/>
  <c r="D36" i="5" s="1"/>
  <c r="C35" i="5"/>
  <c r="D35" i="5" s="1"/>
  <c r="C34" i="5"/>
  <c r="D34" i="5" s="1"/>
  <c r="C33" i="5"/>
  <c r="D33" i="5" s="1"/>
  <c r="C32" i="5"/>
  <c r="D32" i="5" s="1"/>
  <c r="C31" i="5"/>
  <c r="D31" i="5" s="1"/>
  <c r="C30" i="5"/>
  <c r="D30" i="5" s="1"/>
  <c r="C29" i="5"/>
  <c r="D29" i="5" s="1"/>
  <c r="C28" i="5"/>
  <c r="D28" i="5" s="1"/>
  <c r="C27" i="5"/>
  <c r="D27" i="5" s="1"/>
  <c r="C26" i="5"/>
  <c r="D26" i="5" s="1"/>
  <c r="C25" i="5"/>
  <c r="D25" i="5" s="1"/>
  <c r="C24" i="5"/>
  <c r="D24" i="5" s="1"/>
  <c r="C23" i="5"/>
  <c r="D23" i="5" s="1"/>
  <c r="C22" i="5"/>
  <c r="D22" i="5" s="1"/>
  <c r="C21" i="5"/>
  <c r="D21" i="5" s="1"/>
  <c r="C20" i="5"/>
  <c r="D20" i="5" s="1"/>
  <c r="C19" i="5"/>
  <c r="D19" i="5" s="1"/>
  <c r="C18" i="5"/>
  <c r="D18" i="5" s="1"/>
  <c r="C17" i="5"/>
  <c r="D17" i="5" s="1"/>
  <c r="C16" i="5"/>
  <c r="D16" i="5" s="1"/>
  <c r="C15" i="5"/>
  <c r="D15" i="5" s="1"/>
  <c r="C14" i="5"/>
  <c r="D14" i="5" s="1"/>
  <c r="C13" i="5"/>
  <c r="D13" i="5" s="1"/>
  <c r="C12" i="5"/>
  <c r="D12" i="5" s="1"/>
  <c r="C11" i="5"/>
  <c r="D11" i="5" s="1"/>
  <c r="C10" i="5"/>
  <c r="D10" i="5" s="1"/>
  <c r="C9" i="5"/>
  <c r="D9" i="5" s="1"/>
  <c r="C8" i="5"/>
  <c r="D8" i="5" s="1"/>
  <c r="C7" i="5"/>
  <c r="D7" i="5" s="1"/>
  <c r="C6" i="5"/>
  <c r="D6" i="5" s="1"/>
  <c r="C5" i="5"/>
  <c r="D5" i="5" s="1"/>
  <c r="C4" i="5"/>
  <c r="D4" i="5" s="1"/>
  <c r="C3" i="5"/>
  <c r="D3" i="5" s="1"/>
  <c r="C2" i="5"/>
  <c r="D2" i="5" s="1"/>
  <c r="C44" i="4"/>
  <c r="D44" i="4" s="1"/>
  <c r="C43" i="4"/>
  <c r="D43" i="4" s="1"/>
  <c r="C42" i="4"/>
  <c r="D42" i="4" s="1"/>
  <c r="C41" i="4"/>
  <c r="D41" i="4" s="1"/>
  <c r="C40" i="4"/>
  <c r="D40" i="4" s="1"/>
  <c r="C39" i="4"/>
  <c r="D39" i="4" s="1"/>
  <c r="C38" i="4"/>
  <c r="D38" i="4" s="1"/>
  <c r="C37" i="4"/>
  <c r="D37" i="4" s="1"/>
  <c r="C36" i="4"/>
  <c r="D36" i="4" s="1"/>
  <c r="C35" i="4"/>
  <c r="D35" i="4" s="1"/>
  <c r="C34" i="4"/>
  <c r="D34" i="4" s="1"/>
  <c r="C33" i="4"/>
  <c r="D33" i="4" s="1"/>
  <c r="C32" i="4"/>
  <c r="D32" i="4" s="1"/>
  <c r="C31" i="4"/>
  <c r="D31" i="4" s="1"/>
  <c r="C30" i="4"/>
  <c r="D30" i="4" s="1"/>
  <c r="C29" i="4"/>
  <c r="D29" i="4" s="1"/>
  <c r="C28" i="4"/>
  <c r="D28" i="4" s="1"/>
  <c r="C27" i="4"/>
  <c r="D27" i="4" s="1"/>
  <c r="C26" i="4"/>
  <c r="D26" i="4" s="1"/>
  <c r="C25" i="4"/>
  <c r="D25" i="4" s="1"/>
  <c r="C24" i="4"/>
  <c r="D24" i="4" s="1"/>
  <c r="C23" i="4"/>
  <c r="D23" i="4" s="1"/>
  <c r="C22" i="4"/>
  <c r="D22" i="4" s="1"/>
  <c r="C21" i="4"/>
  <c r="D21" i="4" s="1"/>
  <c r="C20" i="4"/>
  <c r="D20" i="4" s="1"/>
  <c r="C19" i="4"/>
  <c r="D19" i="4" s="1"/>
  <c r="C18" i="4"/>
  <c r="D18" i="4" s="1"/>
  <c r="C17" i="4"/>
  <c r="D17" i="4" s="1"/>
  <c r="C16" i="4"/>
  <c r="D16" i="4" s="1"/>
  <c r="C15" i="4"/>
  <c r="D15" i="4" s="1"/>
  <c r="C14" i="4"/>
  <c r="D14" i="4" s="1"/>
  <c r="C13" i="4"/>
  <c r="D13" i="4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C45" i="3"/>
  <c r="D45" i="3" s="1"/>
  <c r="C44" i="3"/>
  <c r="D44" i="3" s="1"/>
  <c r="C43" i="3"/>
  <c r="D43" i="3" s="1"/>
  <c r="C42" i="3"/>
  <c r="D42" i="3" s="1"/>
  <c r="C41" i="3"/>
  <c r="D41" i="3" s="1"/>
  <c r="C40" i="3"/>
  <c r="D40" i="3" s="1"/>
  <c r="C39" i="3"/>
  <c r="D39" i="3" s="1"/>
  <c r="C38" i="3"/>
  <c r="D38" i="3" s="1"/>
  <c r="C37" i="3"/>
  <c r="D37" i="3" s="1"/>
  <c r="C36" i="3"/>
  <c r="D36" i="3" s="1"/>
  <c r="C35" i="3"/>
  <c r="D35" i="3" s="1"/>
  <c r="C34" i="3"/>
  <c r="D34" i="3" s="1"/>
  <c r="C33" i="3"/>
  <c r="D33" i="3" s="1"/>
  <c r="C32" i="3"/>
  <c r="D32" i="3" s="1"/>
  <c r="C31" i="3"/>
  <c r="D31" i="3" s="1"/>
  <c r="C30" i="3"/>
  <c r="D30" i="3" s="1"/>
  <c r="C29" i="3"/>
  <c r="D29" i="3" s="1"/>
  <c r="C28" i="3"/>
  <c r="D28" i="3" s="1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1" i="3"/>
  <c r="D21" i="3" s="1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2" i="3"/>
  <c r="D2" i="3" s="1"/>
  <c r="C41" i="2"/>
  <c r="D41" i="2" s="1"/>
  <c r="C40" i="2"/>
  <c r="D40" i="2" s="1"/>
  <c r="C39" i="2"/>
  <c r="D39" i="2" s="1"/>
  <c r="C38" i="2"/>
  <c r="D38" i="2" s="1"/>
  <c r="C37" i="2"/>
  <c r="D37" i="2" s="1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9A2CDA-ECDE-4996-A361-B82B07076BAD}" keepAlive="1" name="Query - output_values_0 5" description="Connection to the 'output_values_0 5' query in the workbook." type="5" refreshedVersion="0" background="1">
    <dbPr connection="Provider=Microsoft.Mashup.OleDb.1;Data Source=$Workbook$;Location=&quot;output_values_0 5&quot;;Extended Properties=&quot;&quot;" command="SELECT * FROM [output_values_0 5]"/>
  </connection>
</connections>
</file>

<file path=xl/sharedStrings.xml><?xml version="1.0" encoding="utf-8"?>
<sst xmlns="http://schemas.openxmlformats.org/spreadsheetml/2006/main" count="440" uniqueCount="85">
  <si>
    <t>Site_ID</t>
  </si>
  <si>
    <t>aq</t>
  </si>
  <si>
    <t>r</t>
  </si>
  <si>
    <t>C0</t>
  </si>
  <si>
    <t>Ca</t>
  </si>
  <si>
    <t>gamma</t>
  </si>
  <si>
    <t>target</t>
  </si>
  <si>
    <t>Lmax</t>
  </si>
  <si>
    <t>0.000328</t>
  </si>
  <si>
    <t>0.000405</t>
  </si>
  <si>
    <t>0.001562</t>
  </si>
  <si>
    <t>0.002049</t>
  </si>
  <si>
    <t>0.007896</t>
  </si>
  <si>
    <t>0.000465</t>
  </si>
  <si>
    <t>0.009394</t>
  </si>
  <si>
    <t>0.000222</t>
  </si>
  <si>
    <t>0.000587</t>
  </si>
  <si>
    <t>0.003024</t>
  </si>
  <si>
    <t>0.000382</t>
  </si>
  <si>
    <t>0.008871</t>
  </si>
  <si>
    <t>0.015692</t>
  </si>
  <si>
    <t>0.001318</t>
  </si>
  <si>
    <t>0.001805</t>
  </si>
  <si>
    <t>0.748525</t>
  </si>
  <si>
    <t>[WARNING: αₜ &gt; 0.1]</t>
  </si>
  <si>
    <t>0.015716</t>
  </si>
  <si>
    <t>0.093653</t>
  </si>
  <si>
    <t>0.009880</t>
  </si>
  <si>
    <t>0.000511</t>
  </si>
  <si>
    <t>0.000709</t>
  </si>
  <si>
    <t>0.004045</t>
  </si>
  <si>
    <t>0.005990</t>
  </si>
  <si>
    <t xml:space="preserve"> [WARNING: αₜ &gt; 0.1]</t>
  </si>
  <si>
    <t>0.280759</t>
  </si>
  <si>
    <t>0.343128</t>
  </si>
  <si>
    <t>0.001075</t>
  </si>
  <si>
    <t>0.001684</t>
  </si>
  <si>
    <t>0.006476</t>
  </si>
  <si>
    <t>0.000176</t>
  </si>
  <si>
    <t>0.007935</t>
  </si>
  <si>
    <t>0.006922</t>
  </si>
  <si>
    <t>0.046877</t>
  </si>
  <si>
    <t>0.002100</t>
  </si>
  <si>
    <t>0.039057</t>
  </si>
  <si>
    <t>0.002586</t>
  </si>
  <si>
    <t>0.013771</t>
  </si>
  <si>
    <t>0.031284</t>
  </si>
  <si>
    <t>0.041002</t>
  </si>
  <si>
    <t>0.062469</t>
  </si>
  <si>
    <t>0.005947</t>
  </si>
  <si>
    <t>0.064344</t>
  </si>
  <si>
    <t>0.095465</t>
  </si>
  <si>
    <t>0.000237</t>
  </si>
  <si>
    <t>0.000526</t>
  </si>
  <si>
    <t>0.007449</t>
  </si>
  <si>
    <t>0.072124</t>
  </si>
  <si>
    <t>0.375562</t>
  </si>
  <si>
    <t>0.000100</t>
  </si>
  <si>
    <t>0.003072</t>
  </si>
  <si>
    <t>0.017661</t>
  </si>
  <si>
    <t>0.0059990</t>
  </si>
  <si>
    <t>0.99</t>
  </si>
  <si>
    <t>0.251075</t>
  </si>
  <si>
    <t>84.9</t>
  </si>
  <si>
    <t>[WARNING: αt &gt; 0.1]</t>
  </si>
  <si>
    <t>st</t>
  </si>
  <si>
    <t>atv</t>
  </si>
  <si>
    <t>Site ID</t>
  </si>
  <si>
    <t>Aquifer thickness</t>
  </si>
  <si>
    <t>Plume length</t>
  </si>
  <si>
    <t>Plume width</t>
  </si>
  <si>
    <t>Hydraulic conductivity[10-3 [m/s]]</t>
  </si>
  <si>
    <t>Electron Donor[mg/l]</t>
  </si>
  <si>
    <t>Electron Acceptors : O2[mg/l]</t>
  </si>
  <si>
    <t>NO3[mg/l]</t>
  </si>
  <si>
    <t>SO4[mg/l]</t>
  </si>
  <si>
    <t>Fe(II)[mg/l]</t>
  </si>
  <si>
    <r>
      <rPr>
        <b/>
        <sz val="11"/>
        <color theme="1"/>
        <rFont val="Aptos Narrow"/>
        <family val="2"/>
        <scheme val="minor"/>
      </rPr>
      <t>C</t>
    </r>
    <r>
      <rPr>
        <b/>
        <vertAlign val="subscript"/>
        <sz val="11"/>
        <color theme="1"/>
        <rFont val="Aptos Narrow"/>
        <family val="2"/>
        <scheme val="minor"/>
      </rPr>
      <t>A</t>
    </r>
  </si>
  <si>
    <t>ϒ_All</t>
  </si>
  <si>
    <t>Concentration_All</t>
  </si>
  <si>
    <t>ϒ_O2</t>
  </si>
  <si>
    <t>Concentration_O2</t>
  </si>
  <si>
    <t>0.61</t>
  </si>
  <si>
    <t>-</t>
  </si>
  <si>
    <t># Bound is [0.00001 , 1.0]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</si>
</sst>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.0"/>
    <numFmt numFmtId="166" formatCode="0.000000"/>
    <numFmt numFmtId="167" formatCode="0.000000000"/>
    <numFmt numFmtId="168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color rgb="FFFF0000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name val="Arial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zoomScale="115" zoomScaleNormal="115" workbookViewId="0">
      <selection activeCell="B2" sqref="B2"/>
    </sheetView>
  </sheetViews>
  <sheetFormatPr defaultRowHeight="14.4" x14ac:dyDescent="0.3"/>
  <cols>
    <col min="4" max="4" width="23.5546875" customWidth="1"/>
    <col min="9" max="9" width="12.109375" customWidth="1"/>
    <col min="11" max="11" width="15.77734375" style="4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  <c r="K1" s="3"/>
    </row>
    <row r="2" spans="1:11" x14ac:dyDescent="0.3">
      <c r="A2" s="1">
        <v>1</v>
      </c>
      <c r="B2" s="1">
        <v>4.5720000000000001</v>
      </c>
      <c r="C2" s="1">
        <v>0.45700000000000002</v>
      </c>
      <c r="D2" s="1">
        <f t="shared" ref="D2:D36" si="0">2*C2</f>
        <v>0.91400000000000003</v>
      </c>
      <c r="E2" s="1">
        <v>3.55</v>
      </c>
      <c r="F2" s="1">
        <v>6.9</v>
      </c>
      <c r="G2" s="1">
        <v>3.14</v>
      </c>
      <c r="H2" s="1">
        <v>274.32</v>
      </c>
      <c r="I2" s="1" t="s">
        <v>8</v>
      </c>
      <c r="J2" s="1">
        <v>276</v>
      </c>
    </row>
    <row r="3" spans="1:11" x14ac:dyDescent="0.3">
      <c r="A3" s="1">
        <v>2</v>
      </c>
      <c r="B3" s="1">
        <v>1.524</v>
      </c>
      <c r="C3" s="1">
        <v>0.152</v>
      </c>
      <c r="D3" s="1">
        <f t="shared" si="0"/>
        <v>0.30399999999999999</v>
      </c>
      <c r="E3" s="1">
        <v>28</v>
      </c>
      <c r="F3" s="1">
        <v>7.1</v>
      </c>
      <c r="G3" s="1">
        <v>3.14</v>
      </c>
      <c r="H3" s="1">
        <v>228.6</v>
      </c>
      <c r="I3" s="1" t="s">
        <v>9</v>
      </c>
      <c r="J3" s="1">
        <v>236</v>
      </c>
    </row>
    <row r="4" spans="1:11" x14ac:dyDescent="0.3">
      <c r="A4" s="1">
        <v>4</v>
      </c>
      <c r="B4" s="1">
        <v>3.048</v>
      </c>
      <c r="C4" s="1">
        <v>0.30499999999999999</v>
      </c>
      <c r="D4" s="1">
        <f t="shared" si="0"/>
        <v>0.61</v>
      </c>
      <c r="E4" s="1">
        <v>43.28</v>
      </c>
      <c r="F4" s="1">
        <v>12.6</v>
      </c>
      <c r="G4" s="1">
        <v>3.14</v>
      </c>
      <c r="H4" s="1">
        <v>213.36</v>
      </c>
      <c r="I4" s="1" t="s">
        <v>10</v>
      </c>
      <c r="J4" s="1">
        <v>214</v>
      </c>
    </row>
    <row r="5" spans="1:11" x14ac:dyDescent="0.3">
      <c r="A5" s="1">
        <v>6</v>
      </c>
      <c r="B5" s="1">
        <v>3.81</v>
      </c>
      <c r="C5" s="1">
        <v>0.38100000000000001</v>
      </c>
      <c r="D5" s="1">
        <f t="shared" si="0"/>
        <v>0.76200000000000001</v>
      </c>
      <c r="E5" s="1">
        <v>4.03</v>
      </c>
      <c r="F5" s="1">
        <v>3.8</v>
      </c>
      <c r="G5" s="1">
        <v>3.14</v>
      </c>
      <c r="H5" s="1">
        <v>91.44</v>
      </c>
      <c r="I5" s="1" t="s">
        <v>11</v>
      </c>
      <c r="J5" s="1">
        <v>82</v>
      </c>
    </row>
    <row r="6" spans="1:11" x14ac:dyDescent="0.3">
      <c r="A6" s="1">
        <v>7</v>
      </c>
      <c r="B6" s="1">
        <v>2.286</v>
      </c>
      <c r="C6" s="1">
        <v>0.22900000000000001</v>
      </c>
      <c r="D6" s="1">
        <f t="shared" si="0"/>
        <v>0.45800000000000002</v>
      </c>
      <c r="E6" s="1">
        <v>14.1</v>
      </c>
      <c r="F6" s="1">
        <v>3.7</v>
      </c>
      <c r="G6" s="1">
        <v>3.14</v>
      </c>
      <c r="H6" s="1">
        <v>146.304</v>
      </c>
      <c r="I6" s="1" t="s">
        <v>10</v>
      </c>
      <c r="J6" s="1">
        <v>151</v>
      </c>
    </row>
    <row r="7" spans="1:11" x14ac:dyDescent="0.3">
      <c r="A7" s="1">
        <v>8</v>
      </c>
      <c r="B7" s="1">
        <v>1.524</v>
      </c>
      <c r="C7" s="1">
        <v>0.152</v>
      </c>
      <c r="D7" s="1">
        <f t="shared" si="0"/>
        <v>0.30399999999999999</v>
      </c>
      <c r="E7" s="1">
        <v>29.64</v>
      </c>
      <c r="F7" s="1">
        <v>2.4</v>
      </c>
      <c r="G7" s="1">
        <v>3.14</v>
      </c>
      <c r="H7" s="1">
        <v>76.2</v>
      </c>
      <c r="I7" s="1" t="s">
        <v>12</v>
      </c>
      <c r="J7" s="1">
        <v>85</v>
      </c>
    </row>
    <row r="8" spans="1:11" x14ac:dyDescent="0.3">
      <c r="A8" s="1">
        <v>9</v>
      </c>
      <c r="B8" s="1">
        <v>3.81</v>
      </c>
      <c r="C8" s="1">
        <v>0.38100000000000001</v>
      </c>
      <c r="D8" s="1">
        <f t="shared" si="0"/>
        <v>0.76200000000000001</v>
      </c>
      <c r="E8" s="1">
        <v>0.68</v>
      </c>
      <c r="F8" s="1">
        <v>2.1</v>
      </c>
      <c r="G8" s="1">
        <v>3.14</v>
      </c>
      <c r="H8" s="1">
        <v>106.68</v>
      </c>
      <c r="I8" s="1" t="s">
        <v>13</v>
      </c>
      <c r="J8" s="1">
        <v>110</v>
      </c>
    </row>
    <row r="9" spans="1:11" x14ac:dyDescent="0.3">
      <c r="A9" s="1">
        <v>10</v>
      </c>
      <c r="B9" s="1">
        <v>5.3339999999999996</v>
      </c>
      <c r="C9" s="1">
        <v>0.53300000000000003</v>
      </c>
      <c r="D9" s="1">
        <f t="shared" si="0"/>
        <v>1.0660000000000001</v>
      </c>
      <c r="E9" s="1">
        <v>18.27</v>
      </c>
      <c r="F9" s="1">
        <v>1.9</v>
      </c>
      <c r="G9" s="1">
        <v>3.14</v>
      </c>
      <c r="H9" s="1">
        <v>350.52</v>
      </c>
      <c r="I9" s="1" t="s">
        <v>14</v>
      </c>
      <c r="J9" s="1">
        <v>348</v>
      </c>
    </row>
    <row r="10" spans="1:11" x14ac:dyDescent="0.3">
      <c r="A10" s="1">
        <v>11</v>
      </c>
      <c r="B10" s="1">
        <v>3.2004000000000001</v>
      </c>
      <c r="C10" s="1">
        <v>0.32</v>
      </c>
      <c r="D10" s="1">
        <f t="shared" si="0"/>
        <v>0.64</v>
      </c>
      <c r="E10" s="1">
        <v>1.806</v>
      </c>
      <c r="F10" s="1">
        <v>5</v>
      </c>
      <c r="G10" s="1">
        <v>3.14</v>
      </c>
      <c r="H10" s="1">
        <v>182.88</v>
      </c>
      <c r="I10" s="1" t="s">
        <v>15</v>
      </c>
      <c r="J10" s="1">
        <v>179</v>
      </c>
    </row>
    <row r="11" spans="1:11" x14ac:dyDescent="0.3">
      <c r="A11" s="1">
        <v>13</v>
      </c>
      <c r="B11" s="1">
        <v>1.524</v>
      </c>
      <c r="C11" s="1">
        <v>0.152</v>
      </c>
      <c r="D11" s="1">
        <f t="shared" si="0"/>
        <v>0.30399999999999999</v>
      </c>
      <c r="E11" s="1">
        <v>12.84</v>
      </c>
      <c r="F11" s="1">
        <v>6.5</v>
      </c>
      <c r="G11" s="1">
        <v>3.14</v>
      </c>
      <c r="H11" s="1">
        <v>109.72799999999999</v>
      </c>
      <c r="I11" s="1" t="s">
        <v>13</v>
      </c>
      <c r="J11" s="1">
        <v>112</v>
      </c>
    </row>
    <row r="12" spans="1:11" x14ac:dyDescent="0.3">
      <c r="A12" s="1">
        <v>14</v>
      </c>
      <c r="B12" s="1">
        <v>3.81</v>
      </c>
      <c r="C12" s="1">
        <v>0.38100000000000001</v>
      </c>
      <c r="D12" s="1">
        <f t="shared" si="0"/>
        <v>0.76200000000000001</v>
      </c>
      <c r="E12" s="1">
        <v>8.18</v>
      </c>
      <c r="F12" s="1">
        <v>8.6</v>
      </c>
      <c r="G12" s="1">
        <v>3.14</v>
      </c>
      <c r="H12" s="1">
        <v>219.45599999999999</v>
      </c>
      <c r="I12" s="1" t="s">
        <v>16</v>
      </c>
      <c r="J12" s="1">
        <v>212</v>
      </c>
    </row>
    <row r="13" spans="1:11" x14ac:dyDescent="0.3">
      <c r="A13" s="1">
        <v>15</v>
      </c>
      <c r="B13" s="1">
        <v>1.524</v>
      </c>
      <c r="C13" s="1">
        <v>0.152</v>
      </c>
      <c r="D13" s="1">
        <f t="shared" si="0"/>
        <v>0.30399999999999999</v>
      </c>
      <c r="E13" s="1">
        <v>13.8</v>
      </c>
      <c r="F13" s="1">
        <v>9</v>
      </c>
      <c r="G13" s="1">
        <v>3.14</v>
      </c>
      <c r="H13" s="1">
        <v>96.012</v>
      </c>
      <c r="I13" s="1" t="s">
        <v>9</v>
      </c>
      <c r="J13" s="1">
        <v>95</v>
      </c>
    </row>
    <row r="14" spans="1:11" x14ac:dyDescent="0.3">
      <c r="A14" s="1">
        <v>16</v>
      </c>
      <c r="B14" s="1">
        <v>3.048</v>
      </c>
      <c r="C14" s="1">
        <v>0.30499999999999999</v>
      </c>
      <c r="D14" s="1">
        <f t="shared" si="0"/>
        <v>0.61</v>
      </c>
      <c r="E14" s="1">
        <v>13.118</v>
      </c>
      <c r="F14" s="1">
        <v>9.3000000000000007</v>
      </c>
      <c r="G14" s="1">
        <v>3.14</v>
      </c>
      <c r="H14" s="1">
        <v>53.34</v>
      </c>
      <c r="I14" s="1" t="s">
        <v>17</v>
      </c>
      <c r="J14" s="1">
        <v>51</v>
      </c>
    </row>
    <row r="15" spans="1:11" x14ac:dyDescent="0.3">
      <c r="A15" s="1">
        <v>17</v>
      </c>
      <c r="B15" s="1">
        <v>2.286</v>
      </c>
      <c r="C15" s="1">
        <v>0.22900000000000001</v>
      </c>
      <c r="D15" s="1">
        <f t="shared" si="0"/>
        <v>0.45800000000000002</v>
      </c>
      <c r="E15" s="1">
        <v>84.9</v>
      </c>
      <c r="F15" s="1">
        <v>8.1999999999999993</v>
      </c>
      <c r="G15" s="1">
        <v>3.14</v>
      </c>
      <c r="H15" s="1">
        <v>128.01599999999999</v>
      </c>
      <c r="I15" s="1" t="s">
        <v>12</v>
      </c>
      <c r="J15" s="1">
        <v>121</v>
      </c>
    </row>
    <row r="16" spans="1:11" x14ac:dyDescent="0.3">
      <c r="A16" s="1">
        <v>18</v>
      </c>
      <c r="B16" s="1">
        <v>3.81</v>
      </c>
      <c r="C16" s="1">
        <v>0.38100000000000001</v>
      </c>
      <c r="D16" s="1">
        <f t="shared" si="0"/>
        <v>0.76200000000000001</v>
      </c>
      <c r="E16" s="1">
        <v>22.9</v>
      </c>
      <c r="F16" s="1">
        <v>8.3000000000000007</v>
      </c>
      <c r="G16" s="1">
        <v>3.14</v>
      </c>
      <c r="H16" s="1">
        <v>914.4</v>
      </c>
      <c r="I16" s="1" t="s">
        <v>18</v>
      </c>
      <c r="J16" s="1">
        <v>910</v>
      </c>
    </row>
    <row r="17" spans="1:11" x14ac:dyDescent="0.3">
      <c r="A17" s="1">
        <v>19</v>
      </c>
      <c r="B17" s="1">
        <v>4.5720000000000001</v>
      </c>
      <c r="C17" s="1">
        <v>0.45700000000000002</v>
      </c>
      <c r="D17" s="1">
        <f t="shared" si="0"/>
        <v>0.91400000000000003</v>
      </c>
      <c r="E17" s="1">
        <v>49.3</v>
      </c>
      <c r="F17" s="1">
        <v>7.5</v>
      </c>
      <c r="G17" s="1">
        <v>3.14</v>
      </c>
      <c r="H17" s="1">
        <v>192.024</v>
      </c>
      <c r="I17" s="1" t="s">
        <v>19</v>
      </c>
      <c r="J17" s="1">
        <v>195</v>
      </c>
    </row>
    <row r="18" spans="1:11" x14ac:dyDescent="0.3">
      <c r="A18" s="1">
        <v>20</v>
      </c>
      <c r="B18" s="1">
        <v>1.524</v>
      </c>
      <c r="C18" s="1">
        <v>0.152</v>
      </c>
      <c r="D18" s="1">
        <f t="shared" si="0"/>
        <v>0.30399999999999999</v>
      </c>
      <c r="E18" s="1">
        <v>90.21</v>
      </c>
      <c r="F18" s="1">
        <v>6.8</v>
      </c>
      <c r="G18" s="1">
        <v>3.14</v>
      </c>
      <c r="H18" s="1">
        <v>60.96</v>
      </c>
      <c r="I18" s="1" t="s">
        <v>20</v>
      </c>
      <c r="J18" s="1">
        <v>61</v>
      </c>
    </row>
    <row r="19" spans="1:11" x14ac:dyDescent="0.3">
      <c r="A19" s="1">
        <v>22</v>
      </c>
      <c r="B19" s="1">
        <v>2.286</v>
      </c>
      <c r="C19" s="1">
        <v>0.22900000000000001</v>
      </c>
      <c r="D19" s="1">
        <f t="shared" si="0"/>
        <v>0.45800000000000002</v>
      </c>
      <c r="E19" s="1">
        <v>20.95</v>
      </c>
      <c r="F19" s="1">
        <v>8.52</v>
      </c>
      <c r="G19" s="1">
        <v>3.14</v>
      </c>
      <c r="H19" s="1">
        <v>106.68</v>
      </c>
      <c r="I19" s="1" t="s">
        <v>21</v>
      </c>
      <c r="J19" s="1">
        <v>102</v>
      </c>
    </row>
    <row r="20" spans="1:11" x14ac:dyDescent="0.3">
      <c r="A20" s="1">
        <v>24</v>
      </c>
      <c r="B20" s="1">
        <v>3.048</v>
      </c>
      <c r="C20" s="1">
        <v>0.30499999999999999</v>
      </c>
      <c r="D20" s="1">
        <f t="shared" si="0"/>
        <v>0.61</v>
      </c>
      <c r="E20" s="1">
        <v>67</v>
      </c>
      <c r="F20" s="1">
        <v>3.7</v>
      </c>
      <c r="G20" s="1">
        <v>3.14</v>
      </c>
      <c r="H20" s="1">
        <v>207.26400000000001</v>
      </c>
      <c r="I20" s="1" t="s">
        <v>20</v>
      </c>
      <c r="J20" s="1">
        <v>198</v>
      </c>
    </row>
    <row r="21" spans="1:11" x14ac:dyDescent="0.3">
      <c r="A21" s="1">
        <v>26</v>
      </c>
      <c r="B21" s="1">
        <v>4.2671999999999999</v>
      </c>
      <c r="C21" s="1">
        <v>0.42699999999999999</v>
      </c>
      <c r="D21" s="1">
        <f t="shared" si="0"/>
        <v>0.85399999999999998</v>
      </c>
      <c r="E21" s="1">
        <v>25.4</v>
      </c>
      <c r="F21" s="1">
        <v>5.5</v>
      </c>
      <c r="G21" s="1">
        <v>3.14</v>
      </c>
      <c r="H21" s="1">
        <v>71.3232</v>
      </c>
      <c r="I21" s="1" t="s">
        <v>20</v>
      </c>
      <c r="J21" s="1">
        <v>81</v>
      </c>
    </row>
    <row r="22" spans="1:11" x14ac:dyDescent="0.3">
      <c r="A22" s="1">
        <v>31</v>
      </c>
      <c r="B22" s="1">
        <v>4.57</v>
      </c>
      <c r="C22" s="1">
        <v>0.45700000000000002</v>
      </c>
      <c r="D22" s="1">
        <f t="shared" si="0"/>
        <v>0.91400000000000003</v>
      </c>
      <c r="E22" s="1">
        <v>9.23</v>
      </c>
      <c r="F22" s="1">
        <v>2.8</v>
      </c>
      <c r="G22" s="1">
        <v>3.14</v>
      </c>
      <c r="H22" s="1">
        <v>366</v>
      </c>
      <c r="I22" s="1" t="s">
        <v>22</v>
      </c>
      <c r="J22" s="1">
        <v>371</v>
      </c>
    </row>
    <row r="23" spans="1:11" x14ac:dyDescent="0.3">
      <c r="A23" s="1">
        <v>32</v>
      </c>
      <c r="B23" s="1">
        <v>3.05</v>
      </c>
      <c r="C23" s="1">
        <v>0.30499999999999999</v>
      </c>
      <c r="D23" s="1">
        <f t="shared" si="0"/>
        <v>0.61</v>
      </c>
      <c r="E23" s="1">
        <v>2.84</v>
      </c>
      <c r="F23" s="1">
        <v>0.6</v>
      </c>
      <c r="G23" s="1">
        <v>3.14</v>
      </c>
      <c r="H23" s="1">
        <v>168</v>
      </c>
      <c r="I23" s="1" t="s">
        <v>17</v>
      </c>
      <c r="J23" s="1">
        <v>174</v>
      </c>
    </row>
    <row r="24" spans="1:11" x14ac:dyDescent="0.3">
      <c r="A24" s="1">
        <v>34</v>
      </c>
      <c r="B24" s="1">
        <v>1.5249999999999999</v>
      </c>
      <c r="C24" s="1">
        <v>0.152</v>
      </c>
      <c r="D24" s="1">
        <f t="shared" si="0"/>
        <v>0.30399999999999999</v>
      </c>
      <c r="E24" s="1">
        <v>48.65</v>
      </c>
      <c r="F24" s="1">
        <v>0.42</v>
      </c>
      <c r="G24" s="1">
        <v>3.14</v>
      </c>
      <c r="H24" s="1">
        <v>85</v>
      </c>
      <c r="I24" s="1" t="s">
        <v>23</v>
      </c>
      <c r="J24" s="1">
        <v>82</v>
      </c>
      <c r="K24" s="4" t="s">
        <v>24</v>
      </c>
    </row>
    <row r="25" spans="1:11" x14ac:dyDescent="0.3">
      <c r="A25" s="1">
        <v>35</v>
      </c>
      <c r="B25" s="1">
        <v>5.335</v>
      </c>
      <c r="C25" s="1">
        <v>0.53300000000000003</v>
      </c>
      <c r="D25" s="1">
        <f t="shared" si="0"/>
        <v>1.0660000000000001</v>
      </c>
      <c r="E25" s="1">
        <v>18.27</v>
      </c>
      <c r="F25" s="1">
        <v>1.9</v>
      </c>
      <c r="G25" s="1">
        <v>3.14</v>
      </c>
      <c r="H25" s="1">
        <v>229</v>
      </c>
      <c r="I25" s="1" t="s">
        <v>25</v>
      </c>
      <c r="J25" s="1">
        <v>235</v>
      </c>
    </row>
    <row r="26" spans="1:11" x14ac:dyDescent="0.3">
      <c r="A26" s="1">
        <v>36</v>
      </c>
      <c r="B26" s="1">
        <v>4.57</v>
      </c>
      <c r="C26" s="1">
        <v>0.45700000000000002</v>
      </c>
      <c r="D26" s="1">
        <f t="shared" si="0"/>
        <v>0.91400000000000003</v>
      </c>
      <c r="E26" s="1">
        <v>3.23</v>
      </c>
      <c r="F26" s="1">
        <v>0.1</v>
      </c>
      <c r="G26" s="1">
        <v>3.14</v>
      </c>
      <c r="H26" s="1">
        <v>198</v>
      </c>
      <c r="I26" s="1" t="s">
        <v>26</v>
      </c>
      <c r="J26" s="1">
        <v>206</v>
      </c>
    </row>
    <row r="27" spans="1:11" x14ac:dyDescent="0.3">
      <c r="A27" s="1">
        <v>40</v>
      </c>
      <c r="B27" s="1">
        <v>8.3800000000000008</v>
      </c>
      <c r="C27" s="1">
        <v>0.83799999999999997</v>
      </c>
      <c r="D27" s="1">
        <f t="shared" si="0"/>
        <v>1.6759999999999999</v>
      </c>
      <c r="E27" s="1">
        <v>32.56</v>
      </c>
      <c r="F27" s="1">
        <v>9.82</v>
      </c>
      <c r="G27" s="1">
        <v>3.14</v>
      </c>
      <c r="H27" s="1">
        <v>244</v>
      </c>
      <c r="I27" s="1" t="s">
        <v>27</v>
      </c>
      <c r="J27" s="1">
        <v>249</v>
      </c>
    </row>
    <row r="28" spans="1:11" x14ac:dyDescent="0.3">
      <c r="A28" s="1">
        <v>41</v>
      </c>
      <c r="B28" s="1">
        <v>4.57</v>
      </c>
      <c r="C28" s="1">
        <v>0.45700000000000002</v>
      </c>
      <c r="D28" s="1">
        <f t="shared" si="0"/>
        <v>0.91400000000000003</v>
      </c>
      <c r="E28" s="1">
        <v>15.6</v>
      </c>
      <c r="F28" s="1">
        <v>10.43</v>
      </c>
      <c r="G28" s="1">
        <v>3.14</v>
      </c>
      <c r="H28" s="1">
        <v>549</v>
      </c>
      <c r="I28" s="1" t="s">
        <v>28</v>
      </c>
      <c r="J28" s="1">
        <v>553</v>
      </c>
    </row>
    <row r="29" spans="1:11" x14ac:dyDescent="0.3">
      <c r="A29" s="1">
        <v>42</v>
      </c>
      <c r="B29" s="1">
        <v>3.05</v>
      </c>
      <c r="C29" s="1">
        <v>0.30499999999999999</v>
      </c>
      <c r="D29" s="1">
        <f t="shared" si="0"/>
        <v>0.61</v>
      </c>
      <c r="E29" s="1">
        <v>9.23</v>
      </c>
      <c r="F29" s="1">
        <v>7.7</v>
      </c>
      <c r="G29" s="1">
        <v>3.14</v>
      </c>
      <c r="H29" s="1">
        <v>152</v>
      </c>
      <c r="I29" s="1" t="s">
        <v>29</v>
      </c>
      <c r="J29" s="1">
        <v>145</v>
      </c>
    </row>
    <row r="30" spans="1:11" x14ac:dyDescent="0.3">
      <c r="A30" s="1">
        <v>46</v>
      </c>
      <c r="B30" s="1">
        <v>6</v>
      </c>
      <c r="C30" s="1">
        <v>0.6</v>
      </c>
      <c r="D30" s="1">
        <f t="shared" si="0"/>
        <v>1.2</v>
      </c>
      <c r="E30" s="1">
        <v>1.3</v>
      </c>
      <c r="F30" s="1">
        <v>1</v>
      </c>
      <c r="G30" s="1">
        <v>3.17</v>
      </c>
      <c r="H30" s="1">
        <v>120</v>
      </c>
      <c r="I30" s="1" t="s">
        <v>30</v>
      </c>
      <c r="J30" s="1">
        <v>124</v>
      </c>
    </row>
    <row r="31" spans="1:11" x14ac:dyDescent="0.3">
      <c r="A31" s="1">
        <v>47</v>
      </c>
      <c r="B31" s="1">
        <v>6</v>
      </c>
      <c r="C31" s="1">
        <v>0.6</v>
      </c>
      <c r="D31" s="1">
        <f t="shared" si="0"/>
        <v>1.2</v>
      </c>
      <c r="E31" s="1">
        <v>2.4</v>
      </c>
      <c r="F31" s="1">
        <v>2</v>
      </c>
      <c r="G31" s="1">
        <v>3.17</v>
      </c>
      <c r="H31" s="1">
        <v>90</v>
      </c>
      <c r="I31" s="1" t="s">
        <v>31</v>
      </c>
      <c r="J31" s="1">
        <v>82</v>
      </c>
    </row>
    <row r="32" spans="1:11" x14ac:dyDescent="0.3">
      <c r="A32" s="1">
        <v>48</v>
      </c>
      <c r="B32" s="1">
        <v>6</v>
      </c>
      <c r="C32" s="1">
        <v>0.6</v>
      </c>
      <c r="D32" s="1">
        <f t="shared" si="0"/>
        <v>1.2</v>
      </c>
      <c r="E32" s="1">
        <v>1.4</v>
      </c>
      <c r="F32" s="1">
        <v>2</v>
      </c>
      <c r="G32" s="1">
        <v>3.17</v>
      </c>
      <c r="H32" s="1">
        <v>60</v>
      </c>
      <c r="I32" s="1" t="s">
        <v>30</v>
      </c>
      <c r="J32" s="1">
        <v>68</v>
      </c>
    </row>
    <row r="33" spans="1:11" x14ac:dyDescent="0.3">
      <c r="A33" s="1">
        <v>54</v>
      </c>
      <c r="B33" s="1">
        <v>5.5</v>
      </c>
      <c r="C33" s="1">
        <v>0.55000000000000004</v>
      </c>
      <c r="D33" s="1">
        <f t="shared" si="0"/>
        <v>1.1000000000000001</v>
      </c>
      <c r="E33" s="1">
        <v>33</v>
      </c>
      <c r="F33" s="1">
        <v>7.5</v>
      </c>
      <c r="G33" s="1">
        <v>3.14</v>
      </c>
      <c r="H33" s="1">
        <v>250</v>
      </c>
      <c r="I33" s="1" t="s">
        <v>31</v>
      </c>
      <c r="J33" s="1">
        <v>244</v>
      </c>
    </row>
    <row r="34" spans="1:11" x14ac:dyDescent="0.3">
      <c r="A34" s="1">
        <v>55</v>
      </c>
      <c r="B34" s="1">
        <v>3.7</v>
      </c>
      <c r="C34" s="1">
        <v>0.37</v>
      </c>
      <c r="D34" s="1">
        <f t="shared" si="0"/>
        <v>0.74</v>
      </c>
      <c r="E34" s="1">
        <v>123</v>
      </c>
      <c r="F34" s="1">
        <v>1.6</v>
      </c>
      <c r="G34" s="1">
        <v>3.08</v>
      </c>
      <c r="H34" s="1">
        <v>200</v>
      </c>
      <c r="I34" s="1" t="s">
        <v>33</v>
      </c>
      <c r="J34" s="1">
        <v>199</v>
      </c>
      <c r="K34" s="4" t="s">
        <v>32</v>
      </c>
    </row>
    <row r="35" spans="1:11" x14ac:dyDescent="0.3">
      <c r="A35" s="1">
        <v>56</v>
      </c>
      <c r="B35" s="1">
        <v>3</v>
      </c>
      <c r="C35" s="1">
        <v>0.3</v>
      </c>
      <c r="D35" s="1">
        <f t="shared" si="0"/>
        <v>0.6</v>
      </c>
      <c r="E35" s="1">
        <v>230</v>
      </c>
      <c r="F35" s="1">
        <v>0.6</v>
      </c>
      <c r="G35" s="1">
        <v>314</v>
      </c>
      <c r="H35" s="1">
        <v>500</v>
      </c>
      <c r="I35" s="1" t="s">
        <v>34</v>
      </c>
      <c r="J35" s="1">
        <v>495</v>
      </c>
      <c r="K35" s="4" t="s">
        <v>24</v>
      </c>
    </row>
    <row r="36" spans="1:11" x14ac:dyDescent="0.3">
      <c r="A36" s="1">
        <v>61</v>
      </c>
      <c r="B36" s="1">
        <v>1.5</v>
      </c>
      <c r="C36" s="1">
        <v>0.15</v>
      </c>
      <c r="D36" s="1">
        <f t="shared" si="0"/>
        <v>0.3</v>
      </c>
      <c r="E36" s="1">
        <v>8.9</v>
      </c>
      <c r="F36" s="1">
        <v>0.99</v>
      </c>
      <c r="G36" s="1">
        <v>3.14</v>
      </c>
      <c r="H36" s="1">
        <v>250</v>
      </c>
      <c r="I36" s="1" t="s">
        <v>35</v>
      </c>
      <c r="J36" s="1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>
      <selection activeCell="D54" sqref="D54"/>
    </sheetView>
  </sheetViews>
  <sheetFormatPr defaultRowHeight="14.4" x14ac:dyDescent="0.3"/>
  <cols>
    <col min="1" max="3" width="9.109375" style="1" customWidth="1"/>
    <col min="4" max="4" width="24.21875" style="1" customWidth="1"/>
    <col min="5" max="10" width="9.109375" style="1" customWidth="1"/>
    <col min="11" max="11" width="12.77734375" style="4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  <c r="K1" s="3"/>
    </row>
    <row r="2" spans="1:11" x14ac:dyDescent="0.3">
      <c r="A2" s="1">
        <v>2</v>
      </c>
      <c r="B2" s="1">
        <v>1.524</v>
      </c>
      <c r="C2" s="1">
        <v>0.30499999999999999</v>
      </c>
      <c r="D2" s="1">
        <f t="shared" ref="D2:D41" si="0">2*C2</f>
        <v>0.61</v>
      </c>
      <c r="E2" s="1">
        <v>28</v>
      </c>
      <c r="F2" s="1">
        <v>7.1</v>
      </c>
      <c r="G2" s="1">
        <v>3.14</v>
      </c>
      <c r="H2" s="1">
        <v>228.6</v>
      </c>
      <c r="I2" s="1" t="s">
        <v>36</v>
      </c>
      <c r="J2" s="1">
        <v>227</v>
      </c>
    </row>
    <row r="3" spans="1:11" x14ac:dyDescent="0.3">
      <c r="A3" s="1">
        <v>4</v>
      </c>
      <c r="B3" s="1">
        <v>3.048</v>
      </c>
      <c r="C3" s="1">
        <v>0.61</v>
      </c>
      <c r="D3" s="1">
        <f t="shared" si="0"/>
        <v>1.22</v>
      </c>
      <c r="E3" s="1">
        <v>43.28</v>
      </c>
      <c r="F3" s="1">
        <v>12.6</v>
      </c>
      <c r="G3" s="1">
        <v>3.14</v>
      </c>
      <c r="H3" s="1">
        <v>213.36</v>
      </c>
      <c r="I3" s="1" t="s">
        <v>37</v>
      </c>
      <c r="J3" s="1">
        <v>213</v>
      </c>
    </row>
    <row r="4" spans="1:11" x14ac:dyDescent="0.3">
      <c r="A4" s="1">
        <v>5</v>
      </c>
      <c r="B4" s="1">
        <v>1.524</v>
      </c>
      <c r="C4" s="1">
        <v>0.30499999999999999</v>
      </c>
      <c r="D4" s="1">
        <f t="shared" si="0"/>
        <v>0.61</v>
      </c>
      <c r="E4" s="1">
        <v>5.26</v>
      </c>
      <c r="F4" s="1">
        <v>10.9</v>
      </c>
      <c r="G4" s="1">
        <v>3.14</v>
      </c>
      <c r="H4" s="1">
        <v>259.08</v>
      </c>
      <c r="I4" s="1" t="s">
        <v>38</v>
      </c>
      <c r="J4" s="1">
        <v>260</v>
      </c>
    </row>
    <row r="5" spans="1:11" x14ac:dyDescent="0.3">
      <c r="A5" s="1">
        <v>6</v>
      </c>
      <c r="B5" s="1">
        <v>3.81</v>
      </c>
      <c r="C5" s="1">
        <v>0.76200000000000001</v>
      </c>
      <c r="D5" s="1">
        <f t="shared" si="0"/>
        <v>1.524</v>
      </c>
      <c r="E5" s="1">
        <v>4.03</v>
      </c>
      <c r="F5" s="1">
        <v>3.8</v>
      </c>
      <c r="G5" s="1">
        <v>3.14</v>
      </c>
      <c r="H5" s="1">
        <v>91.44</v>
      </c>
      <c r="I5" s="1" t="s">
        <v>39</v>
      </c>
      <c r="J5" s="1">
        <v>85</v>
      </c>
    </row>
    <row r="6" spans="1:11" x14ac:dyDescent="0.3">
      <c r="A6" s="1">
        <v>7</v>
      </c>
      <c r="B6" s="1">
        <v>2.286</v>
      </c>
      <c r="C6" s="1">
        <v>0.45700000000000002</v>
      </c>
      <c r="D6" s="1">
        <f t="shared" si="0"/>
        <v>0.91400000000000003</v>
      </c>
      <c r="E6" s="1">
        <v>14.1</v>
      </c>
      <c r="F6" s="1">
        <v>3.7</v>
      </c>
      <c r="G6" s="1">
        <v>3.14</v>
      </c>
      <c r="H6" s="1">
        <v>146.304</v>
      </c>
      <c r="I6" s="1" t="s">
        <v>40</v>
      </c>
      <c r="J6" s="1">
        <v>139</v>
      </c>
    </row>
    <row r="7" spans="1:11" x14ac:dyDescent="0.3">
      <c r="A7" s="1">
        <v>8</v>
      </c>
      <c r="B7" s="1">
        <v>1.524</v>
      </c>
      <c r="C7" s="1">
        <v>0.30499999999999999</v>
      </c>
      <c r="D7" s="1">
        <f t="shared" si="0"/>
        <v>0.61</v>
      </c>
      <c r="E7" s="1">
        <v>29.64</v>
      </c>
      <c r="F7" s="1">
        <v>2.4</v>
      </c>
      <c r="G7" s="1">
        <v>3.14</v>
      </c>
      <c r="H7" s="1">
        <v>76.2</v>
      </c>
      <c r="I7" s="1" t="s">
        <v>41</v>
      </c>
      <c r="J7" s="1">
        <v>70</v>
      </c>
    </row>
    <row r="8" spans="1:11" x14ac:dyDescent="0.3">
      <c r="A8" s="1">
        <v>9</v>
      </c>
      <c r="B8" s="1">
        <v>3.81</v>
      </c>
      <c r="C8" s="1">
        <v>0.76200000000000001</v>
      </c>
      <c r="D8" s="1">
        <f t="shared" si="0"/>
        <v>1.524</v>
      </c>
      <c r="E8" s="1">
        <v>0.68</v>
      </c>
      <c r="F8" s="1">
        <v>2.1</v>
      </c>
      <c r="G8" s="1">
        <v>3.14</v>
      </c>
      <c r="H8" s="1">
        <v>106.68</v>
      </c>
      <c r="I8" s="1" t="s">
        <v>42</v>
      </c>
      <c r="J8" s="1">
        <v>98</v>
      </c>
    </row>
    <row r="9" spans="1:11" x14ac:dyDescent="0.3">
      <c r="A9" s="1">
        <v>10</v>
      </c>
      <c r="B9" s="1">
        <v>5.3339999999999996</v>
      </c>
      <c r="C9" s="1">
        <v>1.0669999999999999</v>
      </c>
      <c r="D9" s="1">
        <f t="shared" si="0"/>
        <v>2.1339999999999999</v>
      </c>
      <c r="E9" s="1">
        <v>18.27</v>
      </c>
      <c r="F9" s="1">
        <v>1.9</v>
      </c>
      <c r="G9" s="1">
        <v>3.14</v>
      </c>
      <c r="H9" s="1">
        <v>350.52</v>
      </c>
      <c r="I9" s="1" t="s">
        <v>43</v>
      </c>
      <c r="J9" s="1">
        <v>252</v>
      </c>
    </row>
    <row r="10" spans="1:11" x14ac:dyDescent="0.3">
      <c r="A10" s="1">
        <v>13</v>
      </c>
      <c r="B10" s="1">
        <v>1.524</v>
      </c>
      <c r="C10" s="1">
        <v>0.30499999999999999</v>
      </c>
      <c r="D10" s="1">
        <f t="shared" si="0"/>
        <v>0.61</v>
      </c>
      <c r="E10" s="1">
        <v>12.84</v>
      </c>
      <c r="F10" s="1">
        <v>6.5</v>
      </c>
      <c r="G10" s="1">
        <v>3.14</v>
      </c>
      <c r="H10" s="1">
        <v>109.72799999999999</v>
      </c>
      <c r="I10" s="1" t="s">
        <v>11</v>
      </c>
      <c r="J10" s="1">
        <v>102</v>
      </c>
    </row>
    <row r="11" spans="1:11" x14ac:dyDescent="0.3">
      <c r="A11" s="1">
        <v>14</v>
      </c>
      <c r="B11" s="1">
        <v>3.81</v>
      </c>
      <c r="C11" s="1">
        <v>0.76200000000000001</v>
      </c>
      <c r="D11" s="1">
        <f t="shared" si="0"/>
        <v>1.524</v>
      </c>
      <c r="E11" s="1">
        <v>8.18</v>
      </c>
      <c r="F11" s="1">
        <v>8.6</v>
      </c>
      <c r="G11" s="1">
        <v>3.14</v>
      </c>
      <c r="H11" s="1">
        <v>219.45599999999999</v>
      </c>
      <c r="I11" s="1" t="s">
        <v>44</v>
      </c>
      <c r="J11" s="1">
        <v>210</v>
      </c>
    </row>
    <row r="12" spans="1:11" x14ac:dyDescent="0.3">
      <c r="A12" s="1">
        <v>15</v>
      </c>
      <c r="B12" s="1">
        <v>1.524</v>
      </c>
      <c r="C12" s="1">
        <v>0.30499999999999999</v>
      </c>
      <c r="D12" s="1">
        <f t="shared" si="0"/>
        <v>0.61</v>
      </c>
      <c r="E12" s="1">
        <v>13.8</v>
      </c>
      <c r="F12" s="1">
        <v>9</v>
      </c>
      <c r="G12" s="1">
        <v>3.14</v>
      </c>
      <c r="H12" s="1">
        <v>96.012</v>
      </c>
      <c r="I12" s="1" t="s">
        <v>10</v>
      </c>
      <c r="J12" s="1">
        <v>96</v>
      </c>
    </row>
    <row r="13" spans="1:11" x14ac:dyDescent="0.3">
      <c r="A13" s="1">
        <v>16</v>
      </c>
      <c r="B13" s="1">
        <v>3.048</v>
      </c>
      <c r="C13" s="1">
        <v>0.61</v>
      </c>
      <c r="D13" s="1">
        <f t="shared" si="0"/>
        <v>1.22</v>
      </c>
      <c r="E13" s="1">
        <v>13.118</v>
      </c>
      <c r="F13" s="1">
        <v>9.3000000000000007</v>
      </c>
      <c r="G13" s="1">
        <v>3.14</v>
      </c>
      <c r="H13" s="1">
        <v>53.34</v>
      </c>
      <c r="I13" s="1" t="s">
        <v>45</v>
      </c>
      <c r="J13" s="1">
        <v>49</v>
      </c>
    </row>
    <row r="14" spans="1:11" x14ac:dyDescent="0.3">
      <c r="A14" s="1">
        <v>17</v>
      </c>
      <c r="B14" s="1">
        <v>2.286</v>
      </c>
      <c r="C14" s="1">
        <v>0.45700000000000002</v>
      </c>
      <c r="D14" s="1">
        <f t="shared" si="0"/>
        <v>0.91400000000000003</v>
      </c>
      <c r="E14" s="1">
        <v>84.9</v>
      </c>
      <c r="F14" s="1">
        <v>8.1999999999999993</v>
      </c>
      <c r="G14" s="1">
        <v>3.14</v>
      </c>
      <c r="H14" s="1">
        <v>128.01599999999999</v>
      </c>
      <c r="I14" s="1" t="s">
        <v>46</v>
      </c>
      <c r="J14" s="1">
        <v>126</v>
      </c>
    </row>
    <row r="15" spans="1:11" x14ac:dyDescent="0.3">
      <c r="A15" s="1">
        <v>19</v>
      </c>
      <c r="B15" s="1">
        <v>4.5720000000000001</v>
      </c>
      <c r="C15" s="1">
        <v>0.91400000000000003</v>
      </c>
      <c r="D15" s="1">
        <f t="shared" si="0"/>
        <v>1.8280000000000001</v>
      </c>
      <c r="E15" s="1">
        <v>49.3</v>
      </c>
      <c r="F15" s="1">
        <v>7.5</v>
      </c>
      <c r="G15" s="1">
        <v>3.14</v>
      </c>
      <c r="H15" s="1">
        <v>192.024</v>
      </c>
      <c r="I15" s="1" t="s">
        <v>47</v>
      </c>
      <c r="J15" s="1">
        <v>183</v>
      </c>
    </row>
    <row r="16" spans="1:11" x14ac:dyDescent="0.3">
      <c r="A16" s="1">
        <v>20</v>
      </c>
      <c r="B16" s="1">
        <v>1.524</v>
      </c>
      <c r="C16" s="1">
        <v>0.30499999999999999</v>
      </c>
      <c r="D16" s="1">
        <f t="shared" si="0"/>
        <v>0.61</v>
      </c>
      <c r="E16" s="1">
        <v>90.21</v>
      </c>
      <c r="F16" s="1">
        <v>6.8</v>
      </c>
      <c r="G16" s="1">
        <v>3.14</v>
      </c>
      <c r="H16" s="1">
        <v>60.96</v>
      </c>
      <c r="I16" s="1" t="s">
        <v>48</v>
      </c>
      <c r="J16" s="1">
        <v>65</v>
      </c>
    </row>
    <row r="17" spans="1:11" x14ac:dyDescent="0.3">
      <c r="A17" s="1">
        <v>22</v>
      </c>
      <c r="B17" s="1">
        <v>2.286</v>
      </c>
      <c r="C17" s="1">
        <v>0.45700000000000002</v>
      </c>
      <c r="D17" s="1">
        <f t="shared" si="0"/>
        <v>0.91400000000000003</v>
      </c>
      <c r="E17" s="1">
        <v>20.95</v>
      </c>
      <c r="F17" s="1">
        <v>8.52</v>
      </c>
      <c r="G17" s="1">
        <v>3.14</v>
      </c>
      <c r="H17" s="1">
        <v>106.68</v>
      </c>
      <c r="I17" s="1" t="s">
        <v>49</v>
      </c>
      <c r="J17" s="1">
        <v>103</v>
      </c>
    </row>
    <row r="18" spans="1:11" x14ac:dyDescent="0.3">
      <c r="A18" s="1">
        <v>23</v>
      </c>
      <c r="B18" s="1">
        <v>11</v>
      </c>
      <c r="C18" s="1">
        <v>2.2000000000000002</v>
      </c>
      <c r="D18" s="1">
        <f t="shared" si="0"/>
        <v>4.4000000000000004</v>
      </c>
      <c r="E18" s="1">
        <v>4.2460000000000004</v>
      </c>
      <c r="F18" s="1">
        <v>7.9</v>
      </c>
      <c r="G18" s="1">
        <v>3.14</v>
      </c>
      <c r="H18" s="1">
        <v>420</v>
      </c>
      <c r="I18" s="1" t="s">
        <v>31</v>
      </c>
      <c r="J18" s="1">
        <v>423</v>
      </c>
    </row>
    <row r="19" spans="1:11" x14ac:dyDescent="0.3">
      <c r="A19" s="1">
        <v>24</v>
      </c>
      <c r="B19" s="1">
        <v>3.048</v>
      </c>
      <c r="C19" s="1">
        <v>0.61</v>
      </c>
      <c r="D19" s="1">
        <f t="shared" si="0"/>
        <v>1.22</v>
      </c>
      <c r="E19" s="1">
        <v>67</v>
      </c>
      <c r="F19" s="1">
        <v>3.7</v>
      </c>
      <c r="G19" s="1">
        <v>3.14</v>
      </c>
      <c r="H19" s="1">
        <v>207.26400000000001</v>
      </c>
      <c r="I19" s="1" t="s">
        <v>50</v>
      </c>
      <c r="J19" s="1">
        <v>207</v>
      </c>
    </row>
    <row r="20" spans="1:11" x14ac:dyDescent="0.3">
      <c r="A20" s="1">
        <v>26</v>
      </c>
      <c r="B20" s="1">
        <v>4.2671999999999999</v>
      </c>
      <c r="C20" s="1">
        <v>0.85299999999999998</v>
      </c>
      <c r="D20" s="1">
        <f t="shared" si="0"/>
        <v>1.706</v>
      </c>
      <c r="E20" s="1">
        <v>25.4</v>
      </c>
      <c r="F20" s="1">
        <v>5.5</v>
      </c>
      <c r="G20" s="1">
        <v>3.14</v>
      </c>
      <c r="H20" s="1">
        <v>71.3232</v>
      </c>
      <c r="I20" s="1" t="s">
        <v>51</v>
      </c>
      <c r="J20" s="1">
        <v>66</v>
      </c>
    </row>
    <row r="21" spans="1:11" x14ac:dyDescent="0.3">
      <c r="A21" s="1">
        <v>27</v>
      </c>
      <c r="B21" s="1">
        <v>2.1335999999999999</v>
      </c>
      <c r="C21" s="1">
        <v>0.42699999999999999</v>
      </c>
      <c r="D21" s="1">
        <f t="shared" si="0"/>
        <v>0.85399999999999998</v>
      </c>
      <c r="E21" s="1">
        <v>1.504</v>
      </c>
      <c r="F21" s="1">
        <v>2.4</v>
      </c>
      <c r="G21" s="1">
        <v>3.14</v>
      </c>
      <c r="H21" s="1">
        <v>396.24</v>
      </c>
      <c r="I21" s="1" t="s">
        <v>52</v>
      </c>
      <c r="J21" s="1">
        <v>399</v>
      </c>
    </row>
    <row r="22" spans="1:11" x14ac:dyDescent="0.3">
      <c r="A22" s="1">
        <v>30</v>
      </c>
      <c r="B22" s="1">
        <v>1.5249999999999999</v>
      </c>
      <c r="C22" s="1">
        <v>0.30499999999999999</v>
      </c>
      <c r="D22" s="1">
        <f t="shared" si="0"/>
        <v>0.61</v>
      </c>
      <c r="E22" s="1">
        <v>5.22</v>
      </c>
      <c r="F22" s="1">
        <v>5.7</v>
      </c>
      <c r="G22" s="1">
        <v>3.14</v>
      </c>
      <c r="H22" s="1">
        <v>152</v>
      </c>
      <c r="I22" s="1" t="s">
        <v>53</v>
      </c>
      <c r="J22" s="1">
        <v>155</v>
      </c>
    </row>
    <row r="23" spans="1:11" x14ac:dyDescent="0.3">
      <c r="A23" s="1">
        <v>31</v>
      </c>
      <c r="B23" s="1">
        <v>4.57</v>
      </c>
      <c r="C23" s="1">
        <v>0.91400000000000003</v>
      </c>
      <c r="D23" s="1">
        <f t="shared" si="0"/>
        <v>1.8280000000000001</v>
      </c>
      <c r="E23" s="1">
        <v>9.23</v>
      </c>
      <c r="F23" s="1">
        <v>2.8</v>
      </c>
      <c r="G23" s="1">
        <v>3.14</v>
      </c>
      <c r="H23" s="1">
        <v>366</v>
      </c>
      <c r="I23" s="1" t="s">
        <v>54</v>
      </c>
      <c r="J23" s="1">
        <v>368</v>
      </c>
    </row>
    <row r="24" spans="1:11" x14ac:dyDescent="0.3">
      <c r="A24" s="1">
        <v>32</v>
      </c>
      <c r="B24" s="1">
        <v>3.05</v>
      </c>
      <c r="C24" s="1">
        <v>0.61</v>
      </c>
      <c r="D24" s="1">
        <f t="shared" si="0"/>
        <v>1.22</v>
      </c>
      <c r="E24" s="1">
        <v>2.84</v>
      </c>
      <c r="F24" s="1">
        <v>0.6</v>
      </c>
      <c r="G24" s="1">
        <v>3.14</v>
      </c>
      <c r="H24" s="1">
        <v>168</v>
      </c>
      <c r="I24" s="1" t="s">
        <v>45</v>
      </c>
      <c r="J24" s="1">
        <v>159</v>
      </c>
    </row>
    <row r="25" spans="1:11" x14ac:dyDescent="0.3">
      <c r="A25" s="1">
        <v>35</v>
      </c>
      <c r="B25" s="1">
        <v>5.335</v>
      </c>
      <c r="C25" s="1">
        <v>1.0669999999999999</v>
      </c>
      <c r="D25" s="1">
        <f t="shared" si="0"/>
        <v>2.1339999999999999</v>
      </c>
      <c r="E25" s="1">
        <v>18.27</v>
      </c>
      <c r="F25" s="1">
        <v>1.9</v>
      </c>
      <c r="G25" s="1">
        <v>3.14</v>
      </c>
      <c r="H25" s="1">
        <v>229</v>
      </c>
      <c r="I25" s="1" t="s">
        <v>55</v>
      </c>
      <c r="J25" s="1">
        <v>226</v>
      </c>
    </row>
    <row r="26" spans="1:11" x14ac:dyDescent="0.3">
      <c r="A26" s="1">
        <v>36</v>
      </c>
      <c r="B26" s="1">
        <v>4.57</v>
      </c>
      <c r="C26" s="1">
        <v>0.91400000000000003</v>
      </c>
      <c r="D26" s="1">
        <f t="shared" si="0"/>
        <v>1.8280000000000001</v>
      </c>
      <c r="E26" s="1">
        <v>2.23</v>
      </c>
      <c r="F26" s="1">
        <v>0.1</v>
      </c>
      <c r="G26" s="1">
        <v>3.14</v>
      </c>
      <c r="H26" s="1">
        <v>198</v>
      </c>
      <c r="I26" s="1" t="s">
        <v>56</v>
      </c>
      <c r="J26" s="1">
        <v>193</v>
      </c>
      <c r="K26" s="4" t="s">
        <v>24</v>
      </c>
    </row>
    <row r="27" spans="1:11" x14ac:dyDescent="0.3">
      <c r="A27" s="1">
        <v>38</v>
      </c>
      <c r="B27" s="1">
        <v>1.22</v>
      </c>
      <c r="C27" s="1">
        <v>0.24399999999999999</v>
      </c>
      <c r="D27" s="1">
        <f t="shared" si="0"/>
        <v>0.48799999999999999</v>
      </c>
      <c r="E27" s="1">
        <v>0.96</v>
      </c>
      <c r="F27" s="1">
        <v>3.9</v>
      </c>
      <c r="G27" s="1">
        <v>3.14</v>
      </c>
      <c r="H27" s="1">
        <v>30</v>
      </c>
      <c r="I27" s="1" t="s">
        <v>57</v>
      </c>
      <c r="J27" s="1">
        <v>31</v>
      </c>
    </row>
    <row r="28" spans="1:11" x14ac:dyDescent="0.3">
      <c r="A28" s="1">
        <v>39</v>
      </c>
      <c r="B28" s="1">
        <v>1.22</v>
      </c>
      <c r="C28" s="1">
        <v>0.24399999999999999</v>
      </c>
      <c r="D28" s="1">
        <f t="shared" si="0"/>
        <v>0.48799999999999999</v>
      </c>
      <c r="E28" s="1">
        <v>13.8</v>
      </c>
      <c r="F28" s="1">
        <v>7.6</v>
      </c>
      <c r="G28" s="1">
        <v>3.14</v>
      </c>
      <c r="H28" s="1">
        <v>64</v>
      </c>
      <c r="I28" s="1" t="s">
        <v>11</v>
      </c>
      <c r="J28" s="1">
        <v>59</v>
      </c>
    </row>
    <row r="29" spans="1:11" x14ac:dyDescent="0.3">
      <c r="A29" s="1">
        <v>40</v>
      </c>
      <c r="B29" s="1">
        <v>8.3800000000000008</v>
      </c>
      <c r="C29" s="1">
        <v>1.6759999999999999</v>
      </c>
      <c r="D29" s="1">
        <f t="shared" si="0"/>
        <v>3.3519999999999999</v>
      </c>
      <c r="E29" s="1">
        <v>32.56</v>
      </c>
      <c r="F29" s="1">
        <v>9.82</v>
      </c>
      <c r="G29" s="1">
        <v>3.14</v>
      </c>
      <c r="H29" s="1">
        <v>244</v>
      </c>
      <c r="I29" s="1" t="s">
        <v>47</v>
      </c>
      <c r="J29" s="1">
        <v>252</v>
      </c>
    </row>
    <row r="30" spans="1:11" x14ac:dyDescent="0.3">
      <c r="A30" s="1">
        <v>41</v>
      </c>
      <c r="B30" s="1">
        <v>4.57</v>
      </c>
      <c r="C30" s="1">
        <v>0.91400000000000003</v>
      </c>
      <c r="D30" s="1">
        <f t="shared" si="0"/>
        <v>1.8280000000000001</v>
      </c>
      <c r="E30" s="1">
        <v>15.6</v>
      </c>
      <c r="F30" s="1">
        <v>10.43</v>
      </c>
      <c r="G30" s="1">
        <v>3.14</v>
      </c>
      <c r="H30" s="1">
        <v>549</v>
      </c>
      <c r="I30" s="1" t="s">
        <v>42</v>
      </c>
      <c r="J30" s="1">
        <v>541</v>
      </c>
    </row>
    <row r="31" spans="1:11" x14ac:dyDescent="0.3">
      <c r="A31" s="1">
        <v>42</v>
      </c>
      <c r="B31" s="1">
        <v>3.05</v>
      </c>
      <c r="C31" s="1">
        <v>0.61</v>
      </c>
      <c r="D31" s="1">
        <f t="shared" si="0"/>
        <v>1.22</v>
      </c>
      <c r="E31" s="1">
        <v>9.23</v>
      </c>
      <c r="F31" s="1">
        <v>7.7</v>
      </c>
      <c r="G31" s="1">
        <v>3.14</v>
      </c>
      <c r="H31" s="1">
        <v>152</v>
      </c>
      <c r="I31" s="1" t="s">
        <v>58</v>
      </c>
      <c r="J31" s="1">
        <v>149</v>
      </c>
    </row>
    <row r="32" spans="1:11" x14ac:dyDescent="0.3">
      <c r="A32" s="1">
        <v>43</v>
      </c>
      <c r="B32" s="1">
        <v>1.83</v>
      </c>
      <c r="C32" s="1">
        <v>0.36599999999999999</v>
      </c>
      <c r="D32" s="1">
        <f t="shared" si="0"/>
        <v>0.73199999999999998</v>
      </c>
      <c r="E32" s="1">
        <v>3.13</v>
      </c>
      <c r="F32" s="1">
        <v>8</v>
      </c>
      <c r="G32" s="1">
        <v>3.14</v>
      </c>
      <c r="H32" s="1">
        <v>96</v>
      </c>
      <c r="I32" s="1" t="s">
        <v>16</v>
      </c>
      <c r="J32" s="1">
        <v>96</v>
      </c>
    </row>
    <row r="33" spans="1:11" x14ac:dyDescent="0.3">
      <c r="A33" s="1">
        <v>46</v>
      </c>
      <c r="B33" s="1">
        <v>6</v>
      </c>
      <c r="C33" s="1">
        <v>1.2</v>
      </c>
      <c r="D33" s="1">
        <f t="shared" si="0"/>
        <v>2.4</v>
      </c>
      <c r="E33" s="1">
        <v>1.3</v>
      </c>
      <c r="F33" s="1">
        <v>1</v>
      </c>
      <c r="G33" s="1">
        <v>3.17</v>
      </c>
      <c r="H33" s="1">
        <v>120</v>
      </c>
      <c r="I33" s="1">
        <v>1.7661E-2</v>
      </c>
      <c r="J33" s="1">
        <v>118</v>
      </c>
    </row>
    <row r="34" spans="1:11" x14ac:dyDescent="0.3">
      <c r="A34" s="1">
        <v>47</v>
      </c>
      <c r="B34" s="1">
        <v>6</v>
      </c>
      <c r="C34" s="1">
        <v>1.2</v>
      </c>
      <c r="D34" s="1">
        <f t="shared" si="0"/>
        <v>2.4</v>
      </c>
      <c r="E34" s="1">
        <v>2.4</v>
      </c>
      <c r="F34" s="1">
        <v>2</v>
      </c>
      <c r="G34" s="1">
        <v>3.17</v>
      </c>
      <c r="H34" s="1">
        <v>90</v>
      </c>
      <c r="I34" s="1">
        <v>2.5440999999999998E-2</v>
      </c>
      <c r="J34" s="1">
        <v>81</v>
      </c>
    </row>
    <row r="35" spans="1:11" x14ac:dyDescent="0.3">
      <c r="A35" s="1">
        <v>48</v>
      </c>
      <c r="B35" s="1">
        <v>6</v>
      </c>
      <c r="C35" s="1">
        <v>1.2</v>
      </c>
      <c r="D35" s="1">
        <f t="shared" si="0"/>
        <v>2.4</v>
      </c>
      <c r="E35" s="1">
        <v>1.4</v>
      </c>
      <c r="F35" s="1">
        <v>2</v>
      </c>
      <c r="G35" s="1">
        <v>3.17</v>
      </c>
      <c r="H35" s="1">
        <v>60</v>
      </c>
      <c r="I35" s="1" t="s">
        <v>59</v>
      </c>
      <c r="J35" s="1">
        <v>67</v>
      </c>
    </row>
    <row r="36" spans="1:11" x14ac:dyDescent="0.3">
      <c r="A36" s="1">
        <v>49</v>
      </c>
      <c r="B36" s="1">
        <v>6</v>
      </c>
      <c r="C36" s="1">
        <v>1.2</v>
      </c>
      <c r="D36" s="1">
        <f t="shared" si="0"/>
        <v>2.4</v>
      </c>
      <c r="E36" s="1">
        <v>0.7</v>
      </c>
      <c r="F36" s="1">
        <v>2</v>
      </c>
      <c r="G36" s="1">
        <v>3.17</v>
      </c>
      <c r="H36" s="1">
        <v>90</v>
      </c>
      <c r="I36" s="1" t="s">
        <v>60</v>
      </c>
      <c r="J36" s="1">
        <v>95</v>
      </c>
    </row>
    <row r="37" spans="1:11" x14ac:dyDescent="0.3">
      <c r="A37" s="1">
        <v>52</v>
      </c>
      <c r="B37" s="1">
        <v>7.5</v>
      </c>
      <c r="C37" s="1">
        <f>0.2*B37</f>
        <v>1.5</v>
      </c>
      <c r="D37" s="1">
        <f t="shared" si="0"/>
        <v>3</v>
      </c>
      <c r="E37" s="1">
        <v>0.31</v>
      </c>
      <c r="F37" s="1">
        <v>1</v>
      </c>
      <c r="G37" s="1">
        <v>3.14</v>
      </c>
      <c r="H37" s="1">
        <v>160</v>
      </c>
      <c r="I37" s="1">
        <v>5.0169999999999998E-3</v>
      </c>
      <c r="J37" s="1">
        <v>151</v>
      </c>
    </row>
    <row r="38" spans="1:11" x14ac:dyDescent="0.3">
      <c r="A38" s="1">
        <v>54</v>
      </c>
      <c r="B38" s="1">
        <v>5.5</v>
      </c>
      <c r="C38" s="1">
        <f>0.2*B38</f>
        <v>1.1000000000000001</v>
      </c>
      <c r="D38" s="1">
        <f t="shared" si="0"/>
        <v>2.2000000000000002</v>
      </c>
      <c r="E38" s="1">
        <v>33</v>
      </c>
      <c r="F38" s="1">
        <v>7.5</v>
      </c>
      <c r="G38" s="1">
        <v>3.14</v>
      </c>
      <c r="H38" s="1">
        <v>250</v>
      </c>
      <c r="I38" s="1">
        <v>2.3496E-2</v>
      </c>
      <c r="J38" s="1">
        <v>255</v>
      </c>
    </row>
    <row r="39" spans="1:11" x14ac:dyDescent="0.3">
      <c r="A39" s="1">
        <v>55</v>
      </c>
      <c r="B39" s="1">
        <v>3.7</v>
      </c>
      <c r="C39" s="1">
        <f>0.2*B39</f>
        <v>0.7400000000000001</v>
      </c>
      <c r="D39" s="1">
        <f t="shared" si="0"/>
        <v>1.4800000000000002</v>
      </c>
      <c r="E39" s="1">
        <v>123</v>
      </c>
      <c r="F39" s="1">
        <v>1.6</v>
      </c>
      <c r="G39" s="1">
        <v>3.08</v>
      </c>
      <c r="H39" s="1">
        <v>200</v>
      </c>
      <c r="I39" s="1">
        <v>0.74902500000000005</v>
      </c>
      <c r="J39" s="1">
        <v>200</v>
      </c>
      <c r="K39" s="4" t="s">
        <v>32</v>
      </c>
    </row>
    <row r="40" spans="1:11" x14ac:dyDescent="0.3">
      <c r="A40" s="1">
        <v>56</v>
      </c>
      <c r="B40" s="1">
        <v>3</v>
      </c>
      <c r="C40" s="1">
        <f>0.2*B40</f>
        <v>0.60000000000000009</v>
      </c>
      <c r="D40" s="1">
        <f t="shared" si="0"/>
        <v>1.2000000000000002</v>
      </c>
      <c r="E40" s="1">
        <v>230</v>
      </c>
      <c r="F40" s="1">
        <v>0.6</v>
      </c>
      <c r="G40" s="1">
        <v>3.14</v>
      </c>
      <c r="H40" s="1">
        <v>500</v>
      </c>
      <c r="I40" s="1">
        <v>0.81126900000000002</v>
      </c>
      <c r="J40" s="1">
        <v>500</v>
      </c>
      <c r="K40" s="4" t="s">
        <v>32</v>
      </c>
    </row>
    <row r="41" spans="1:11" x14ac:dyDescent="0.3">
      <c r="A41" s="1">
        <v>61</v>
      </c>
      <c r="B41" s="1">
        <v>1.5</v>
      </c>
      <c r="C41" s="1">
        <f>0.2*B41</f>
        <v>0.30000000000000004</v>
      </c>
      <c r="D41" s="1">
        <f t="shared" si="0"/>
        <v>0.60000000000000009</v>
      </c>
      <c r="E41" s="1">
        <v>8.9</v>
      </c>
      <c r="F41" s="1" t="s">
        <v>61</v>
      </c>
      <c r="G41" s="1">
        <v>3.14</v>
      </c>
      <c r="H41" s="1">
        <v>250</v>
      </c>
      <c r="I41" s="1">
        <v>3.9979999999999998E-3</v>
      </c>
      <c r="J41" s="1">
        <v>255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topLeftCell="A43" zoomScale="130" zoomScaleNormal="130" workbookViewId="0">
      <selection activeCell="B62" sqref="B62"/>
    </sheetView>
  </sheetViews>
  <sheetFormatPr defaultRowHeight="14.4" x14ac:dyDescent="0.3"/>
  <cols>
    <col min="4" max="4" width="18.77734375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  <c r="K1" s="3"/>
    </row>
    <row r="2" spans="1:11" x14ac:dyDescent="0.3">
      <c r="A2" s="1">
        <v>1</v>
      </c>
      <c r="B2" s="1">
        <v>4.5720000000000001</v>
      </c>
      <c r="C2" s="5">
        <f t="shared" ref="C2:C45" si="0">0.4*B2</f>
        <v>1.8288000000000002</v>
      </c>
      <c r="D2" s="5">
        <f t="shared" ref="D2:D45" si="1">2*C2</f>
        <v>3.6576000000000004</v>
      </c>
      <c r="E2" s="1">
        <v>3.55</v>
      </c>
      <c r="F2" s="1">
        <v>6.9</v>
      </c>
      <c r="G2" s="1">
        <v>3.14</v>
      </c>
      <c r="H2" s="1">
        <v>274.32</v>
      </c>
      <c r="I2" s="1">
        <v>6.476E-3</v>
      </c>
      <c r="J2" s="1">
        <v>267</v>
      </c>
      <c r="K2" s="4"/>
    </row>
    <row r="3" spans="1:11" x14ac:dyDescent="0.3">
      <c r="A3" s="1">
        <v>2</v>
      </c>
      <c r="B3" s="1">
        <v>1.524</v>
      </c>
      <c r="C3" s="5">
        <f t="shared" si="0"/>
        <v>0.60960000000000003</v>
      </c>
      <c r="D3" s="5">
        <f t="shared" si="1"/>
        <v>1.2192000000000001</v>
      </c>
      <c r="E3" s="1">
        <v>28</v>
      </c>
      <c r="F3" s="1">
        <v>7.1</v>
      </c>
      <c r="G3" s="1">
        <v>3.14</v>
      </c>
      <c r="H3" s="1">
        <v>228.6</v>
      </c>
      <c r="I3" s="1">
        <v>6.9629999999999996E-3</v>
      </c>
      <c r="J3" s="1">
        <v>230</v>
      </c>
      <c r="K3" s="4"/>
    </row>
    <row r="4" spans="1:11" x14ac:dyDescent="0.3">
      <c r="A4" s="1">
        <v>4</v>
      </c>
      <c r="B4" s="1">
        <v>3.048</v>
      </c>
      <c r="C4" s="5">
        <f t="shared" si="0"/>
        <v>1.2192000000000001</v>
      </c>
      <c r="D4" s="5">
        <f t="shared" si="1"/>
        <v>2.4384000000000001</v>
      </c>
      <c r="E4" s="1">
        <v>43.28</v>
      </c>
      <c r="F4" s="1">
        <v>12.6</v>
      </c>
      <c r="G4" s="1">
        <v>3.14</v>
      </c>
      <c r="H4" s="1">
        <v>213.36</v>
      </c>
      <c r="I4" s="1">
        <v>2.5440999999999998E-2</v>
      </c>
      <c r="J4" s="1">
        <v>223</v>
      </c>
      <c r="K4" s="4"/>
    </row>
    <row r="5" spans="1:11" x14ac:dyDescent="0.3">
      <c r="A5" s="1">
        <v>6</v>
      </c>
      <c r="B5" s="1">
        <v>3.81</v>
      </c>
      <c r="C5" s="5">
        <f t="shared" si="0"/>
        <v>1.524</v>
      </c>
      <c r="D5" s="5">
        <f t="shared" si="1"/>
        <v>3.048</v>
      </c>
      <c r="E5" s="1">
        <v>4.03</v>
      </c>
      <c r="F5" s="1">
        <v>3.8</v>
      </c>
      <c r="G5" s="1">
        <v>3.14</v>
      </c>
      <c r="H5" s="1">
        <v>91.44</v>
      </c>
      <c r="I5" s="1">
        <v>3.3222000000000002E-2</v>
      </c>
      <c r="J5" s="1">
        <v>86</v>
      </c>
      <c r="K5" s="4"/>
    </row>
    <row r="6" spans="1:11" x14ac:dyDescent="0.3">
      <c r="A6" s="1">
        <v>7</v>
      </c>
      <c r="B6" s="1">
        <v>2.286</v>
      </c>
      <c r="C6" s="5">
        <f t="shared" si="0"/>
        <v>0.9144000000000001</v>
      </c>
      <c r="D6" s="5">
        <f t="shared" si="1"/>
        <v>1.8288000000000002</v>
      </c>
      <c r="E6" s="1">
        <v>14.1</v>
      </c>
      <c r="F6" s="1">
        <v>3.7</v>
      </c>
      <c r="G6" s="1">
        <v>3.14</v>
      </c>
      <c r="H6" s="1">
        <v>146.304</v>
      </c>
      <c r="I6" s="1">
        <v>2.5440999999999998E-2</v>
      </c>
      <c r="J6" s="1">
        <v>154</v>
      </c>
      <c r="K6" s="4"/>
    </row>
    <row r="7" spans="1:11" x14ac:dyDescent="0.3">
      <c r="A7" s="1">
        <v>8</v>
      </c>
      <c r="B7" s="1">
        <v>1.524</v>
      </c>
      <c r="C7" s="5">
        <f t="shared" si="0"/>
        <v>0.60960000000000003</v>
      </c>
      <c r="D7" s="5">
        <f t="shared" si="1"/>
        <v>1.2192000000000001</v>
      </c>
      <c r="E7" s="1">
        <v>29.64</v>
      </c>
      <c r="F7" s="1">
        <v>2.4</v>
      </c>
      <c r="G7" s="1">
        <v>3.14</v>
      </c>
      <c r="H7" s="1">
        <v>76.2</v>
      </c>
      <c r="I7" s="1">
        <v>0.25107499999999999</v>
      </c>
      <c r="J7" s="1">
        <v>68</v>
      </c>
      <c r="K7" s="4" t="s">
        <v>24</v>
      </c>
    </row>
    <row r="8" spans="1:11" x14ac:dyDescent="0.3">
      <c r="A8" s="1">
        <v>9</v>
      </c>
      <c r="B8" s="1">
        <v>3.81</v>
      </c>
      <c r="C8" s="5">
        <f t="shared" si="0"/>
        <v>1.524</v>
      </c>
      <c r="D8" s="5">
        <f t="shared" si="1"/>
        <v>3.048</v>
      </c>
      <c r="E8" s="1">
        <v>0.68</v>
      </c>
      <c r="F8" s="1">
        <v>2.1</v>
      </c>
      <c r="G8" s="1">
        <v>3.14</v>
      </c>
      <c r="H8" s="1">
        <v>106.68</v>
      </c>
      <c r="I8" s="1">
        <v>7.9349999999999993E-3</v>
      </c>
      <c r="J8" s="1">
        <v>106</v>
      </c>
      <c r="K8" s="4"/>
    </row>
    <row r="9" spans="1:11" x14ac:dyDescent="0.3">
      <c r="A9" s="1">
        <v>10</v>
      </c>
      <c r="B9" s="1">
        <v>5.3339999999999996</v>
      </c>
      <c r="C9" s="5">
        <f t="shared" si="0"/>
        <v>2.1335999999999999</v>
      </c>
      <c r="D9" s="5">
        <f t="shared" si="1"/>
        <v>4.2671999999999999</v>
      </c>
      <c r="E9" s="1">
        <v>18.27</v>
      </c>
      <c r="F9" s="1">
        <v>1.9</v>
      </c>
      <c r="G9" s="1">
        <v>3.14</v>
      </c>
      <c r="H9" s="1">
        <v>350.52</v>
      </c>
      <c r="I9" s="1">
        <v>0.14992900000000001</v>
      </c>
      <c r="J9" s="1">
        <v>351</v>
      </c>
      <c r="K9" s="4" t="s">
        <v>24</v>
      </c>
    </row>
    <row r="10" spans="1:11" x14ac:dyDescent="0.3">
      <c r="A10" s="1">
        <v>11</v>
      </c>
      <c r="B10" s="1">
        <v>3.2004000000000001</v>
      </c>
      <c r="C10" s="5">
        <f t="shared" si="0"/>
        <v>1.2801600000000002</v>
      </c>
      <c r="D10" s="5">
        <f t="shared" si="1"/>
        <v>2.5603200000000004</v>
      </c>
      <c r="E10" s="1">
        <v>1.806</v>
      </c>
      <c r="F10" s="1">
        <v>5</v>
      </c>
      <c r="G10" s="1">
        <v>3.14</v>
      </c>
      <c r="H10" s="1">
        <v>182.88</v>
      </c>
      <c r="I10" s="1">
        <v>3.5590000000000001E-3</v>
      </c>
      <c r="J10" s="1">
        <v>177</v>
      </c>
      <c r="K10" s="4"/>
    </row>
    <row r="11" spans="1:11" x14ac:dyDescent="0.3">
      <c r="A11" s="1">
        <v>13</v>
      </c>
      <c r="B11" s="1">
        <v>1.524</v>
      </c>
      <c r="C11" s="5">
        <f t="shared" si="0"/>
        <v>0.60960000000000003</v>
      </c>
      <c r="D11" s="5">
        <f t="shared" si="1"/>
        <v>1.2192000000000001</v>
      </c>
      <c r="E11" s="1">
        <v>12.84</v>
      </c>
      <c r="F11" s="1">
        <v>6.5</v>
      </c>
      <c r="G11" s="1">
        <v>3.14</v>
      </c>
      <c r="H11" s="1">
        <v>109.72799999999999</v>
      </c>
      <c r="I11" s="1">
        <v>7.9349999999999993E-3</v>
      </c>
      <c r="J11" s="1">
        <v>106</v>
      </c>
      <c r="K11" s="4"/>
    </row>
    <row r="12" spans="1:11" x14ac:dyDescent="0.3">
      <c r="A12" s="1">
        <v>14</v>
      </c>
      <c r="B12" s="1">
        <v>3.81</v>
      </c>
      <c r="C12" s="5">
        <f t="shared" si="0"/>
        <v>1.524</v>
      </c>
      <c r="D12" s="5">
        <f t="shared" si="1"/>
        <v>3.048</v>
      </c>
      <c r="E12" s="1">
        <v>8.18</v>
      </c>
      <c r="F12" s="1">
        <v>8.6</v>
      </c>
      <c r="G12" s="1">
        <v>3.14</v>
      </c>
      <c r="H12" s="1">
        <v>219.45599999999999</v>
      </c>
      <c r="I12" s="1">
        <v>9.8799999999999999E-3</v>
      </c>
      <c r="J12" s="1">
        <v>221</v>
      </c>
      <c r="K12" s="4"/>
    </row>
    <row r="13" spans="1:11" x14ac:dyDescent="0.3">
      <c r="A13" s="1">
        <v>15</v>
      </c>
      <c r="B13" s="1">
        <v>1.524</v>
      </c>
      <c r="C13" s="5">
        <f t="shared" si="0"/>
        <v>0.60960000000000003</v>
      </c>
      <c r="D13" s="5">
        <f t="shared" si="1"/>
        <v>1.2192000000000001</v>
      </c>
      <c r="E13" s="1">
        <v>13.8</v>
      </c>
      <c r="F13" s="1">
        <v>9</v>
      </c>
      <c r="G13" s="1">
        <v>3.14</v>
      </c>
      <c r="H13" s="1">
        <v>96.012</v>
      </c>
      <c r="I13" s="1">
        <v>5.9899999999999997E-3</v>
      </c>
      <c r="J13" s="1">
        <v>104</v>
      </c>
      <c r="K13" s="4"/>
    </row>
    <row r="14" spans="1:11" x14ac:dyDescent="0.3">
      <c r="A14" s="1">
        <v>16</v>
      </c>
      <c r="B14" s="1">
        <v>3.048</v>
      </c>
      <c r="C14" s="5">
        <f t="shared" si="0"/>
        <v>1.2192000000000001</v>
      </c>
      <c r="D14" s="5">
        <f t="shared" si="1"/>
        <v>2.4384000000000001</v>
      </c>
      <c r="E14" s="1">
        <v>13.118</v>
      </c>
      <c r="F14" s="1">
        <v>9.3000000000000007</v>
      </c>
      <c r="G14" s="1">
        <v>3.14</v>
      </c>
      <c r="H14" s="1">
        <v>53.34</v>
      </c>
      <c r="I14" s="1">
        <v>6.4343999999999998E-2</v>
      </c>
      <c r="J14" s="1">
        <v>47</v>
      </c>
      <c r="K14" s="4"/>
    </row>
    <row r="15" spans="1:11" x14ac:dyDescent="0.3">
      <c r="A15" s="1">
        <v>17</v>
      </c>
      <c r="B15" s="1">
        <v>2.286</v>
      </c>
      <c r="C15" s="5">
        <f t="shared" si="0"/>
        <v>0.9144000000000001</v>
      </c>
      <c r="D15" s="5">
        <f t="shared" si="1"/>
        <v>1.8288000000000002</v>
      </c>
      <c r="E15" s="1">
        <v>84.9</v>
      </c>
      <c r="F15" s="1">
        <v>8.1999999999999993</v>
      </c>
      <c r="G15" s="1">
        <v>3.14</v>
      </c>
      <c r="H15" s="1">
        <v>128.01599999999999</v>
      </c>
      <c r="I15" s="1">
        <v>0.12658700000000001</v>
      </c>
      <c r="J15" s="1">
        <v>136</v>
      </c>
      <c r="K15" s="4" t="s">
        <v>24</v>
      </c>
    </row>
    <row r="16" spans="1:11" x14ac:dyDescent="0.3">
      <c r="A16" s="1">
        <v>18</v>
      </c>
      <c r="B16" s="1">
        <v>3.81</v>
      </c>
      <c r="C16" s="5">
        <f t="shared" si="0"/>
        <v>1.524</v>
      </c>
      <c r="D16" s="5">
        <f t="shared" si="1"/>
        <v>3.048</v>
      </c>
      <c r="E16" s="1">
        <v>22.9</v>
      </c>
      <c r="F16" s="1">
        <v>8.3000000000000007</v>
      </c>
      <c r="G16" s="1">
        <v>3.14</v>
      </c>
      <c r="H16" s="1">
        <v>914.4</v>
      </c>
      <c r="I16" s="1">
        <v>6.3550000000000004E-3</v>
      </c>
      <c r="J16" s="1">
        <v>912</v>
      </c>
      <c r="K16" s="4"/>
    </row>
    <row r="17" spans="1:11" x14ac:dyDescent="0.3">
      <c r="A17" s="1">
        <v>19</v>
      </c>
      <c r="B17" s="1">
        <v>4.5720000000000001</v>
      </c>
      <c r="C17" s="5">
        <f t="shared" si="0"/>
        <v>1.8288000000000002</v>
      </c>
      <c r="D17" s="5">
        <f t="shared" si="1"/>
        <v>3.6576000000000004</v>
      </c>
      <c r="E17" s="1">
        <v>49.3</v>
      </c>
      <c r="F17" s="1">
        <v>7.5</v>
      </c>
      <c r="G17" s="1">
        <v>3.14</v>
      </c>
      <c r="H17" s="8">
        <v>192024</v>
      </c>
      <c r="I17" s="1">
        <v>0.17327000000000001</v>
      </c>
      <c r="J17" s="1">
        <v>190</v>
      </c>
      <c r="K17" s="4" t="s">
        <v>24</v>
      </c>
    </row>
    <row r="18" spans="1:11" x14ac:dyDescent="0.3">
      <c r="A18" s="1">
        <v>20</v>
      </c>
      <c r="B18" s="1">
        <v>1.524</v>
      </c>
      <c r="C18" s="5">
        <f t="shared" si="0"/>
        <v>0.60960000000000003</v>
      </c>
      <c r="D18" s="5">
        <f t="shared" si="1"/>
        <v>1.2192000000000001</v>
      </c>
      <c r="E18" s="1">
        <v>90.21</v>
      </c>
      <c r="F18" s="1">
        <v>6.8</v>
      </c>
      <c r="G18" s="1">
        <v>3.14</v>
      </c>
      <c r="H18" s="1">
        <v>60.96</v>
      </c>
      <c r="I18" s="1">
        <v>0.50004999999999999</v>
      </c>
      <c r="J18" s="1">
        <v>53</v>
      </c>
      <c r="K18" s="4" t="s">
        <v>24</v>
      </c>
    </row>
    <row r="19" spans="1:11" x14ac:dyDescent="0.3">
      <c r="A19" s="1">
        <v>22</v>
      </c>
      <c r="B19" s="1">
        <v>2.286</v>
      </c>
      <c r="C19" s="5">
        <f t="shared" si="0"/>
        <v>0.9144000000000001</v>
      </c>
      <c r="D19" s="5">
        <f t="shared" si="1"/>
        <v>1.8288000000000002</v>
      </c>
      <c r="E19" s="1">
        <v>20.95</v>
      </c>
      <c r="F19" s="1">
        <v>8.52</v>
      </c>
      <c r="G19" s="1">
        <v>3.14</v>
      </c>
      <c r="H19" s="1">
        <v>106.68</v>
      </c>
      <c r="I19" s="1">
        <v>2.5440999999999998E-2</v>
      </c>
      <c r="J19" s="1">
        <v>100</v>
      </c>
      <c r="K19" s="4"/>
    </row>
    <row r="20" spans="1:11" x14ac:dyDescent="0.3">
      <c r="A20" s="1">
        <v>23</v>
      </c>
      <c r="B20" s="1">
        <v>11</v>
      </c>
      <c r="C20" s="5">
        <f t="shared" si="0"/>
        <v>4.4000000000000004</v>
      </c>
      <c r="D20" s="5">
        <f t="shared" si="1"/>
        <v>8.8000000000000007</v>
      </c>
      <c r="E20" s="1">
        <v>4.2460000000000004</v>
      </c>
      <c r="F20" s="1">
        <v>7.9</v>
      </c>
      <c r="G20" s="1">
        <v>3.14</v>
      </c>
      <c r="H20" s="1">
        <v>420</v>
      </c>
      <c r="I20" s="1">
        <v>2.4570000000000002E-2</v>
      </c>
      <c r="J20" s="1">
        <v>425</v>
      </c>
      <c r="K20" s="4"/>
    </row>
    <row r="21" spans="1:11" x14ac:dyDescent="0.3">
      <c r="A21" s="1">
        <v>24</v>
      </c>
      <c r="B21" s="1">
        <v>3.048</v>
      </c>
      <c r="C21" s="5">
        <f t="shared" si="0"/>
        <v>1.2192000000000001</v>
      </c>
      <c r="D21" s="5">
        <f t="shared" si="1"/>
        <v>2.4384000000000001</v>
      </c>
      <c r="E21" s="1">
        <v>67</v>
      </c>
      <c r="F21" s="1">
        <v>3.7</v>
      </c>
      <c r="G21" s="1">
        <v>3.14</v>
      </c>
      <c r="H21" s="1">
        <v>207.26400000000001</v>
      </c>
      <c r="I21" s="1">
        <v>0.25107499999999999</v>
      </c>
      <c r="J21" s="1">
        <v>211</v>
      </c>
      <c r="K21" s="4" t="s">
        <v>24</v>
      </c>
    </row>
    <row r="22" spans="1:11" x14ac:dyDescent="0.3">
      <c r="A22" s="1">
        <v>26</v>
      </c>
      <c r="B22" s="1">
        <v>4.2671999999999999</v>
      </c>
      <c r="C22" s="5">
        <f t="shared" si="0"/>
        <v>1.70688</v>
      </c>
      <c r="D22" s="5">
        <f t="shared" si="1"/>
        <v>3.4137599999999999</v>
      </c>
      <c r="E22" s="1">
        <v>25.4</v>
      </c>
      <c r="F22" s="1">
        <v>5.5</v>
      </c>
      <c r="G22" s="1">
        <v>3.14</v>
      </c>
      <c r="H22" s="1">
        <v>71.3232</v>
      </c>
      <c r="I22" s="1">
        <v>0.50004999999999999</v>
      </c>
      <c r="J22" s="1">
        <v>65</v>
      </c>
      <c r="K22" s="4" t="s">
        <v>24</v>
      </c>
    </row>
    <row r="23" spans="1:11" x14ac:dyDescent="0.3">
      <c r="A23" s="1">
        <v>28</v>
      </c>
      <c r="B23" s="1">
        <v>1.0668</v>
      </c>
      <c r="C23" s="5">
        <f t="shared" si="0"/>
        <v>0.42671999999999999</v>
      </c>
      <c r="D23" s="5">
        <f t="shared" si="1"/>
        <v>0.85343999999999998</v>
      </c>
      <c r="E23" s="1">
        <v>5.375</v>
      </c>
      <c r="F23" s="1">
        <v>5.5</v>
      </c>
      <c r="G23" s="1">
        <v>3.14</v>
      </c>
      <c r="H23" s="1">
        <v>457.2</v>
      </c>
      <c r="I23" s="1">
        <v>3.59E-4</v>
      </c>
      <c r="J23" s="1">
        <v>457</v>
      </c>
      <c r="K23" s="4"/>
    </row>
    <row r="24" spans="1:11" x14ac:dyDescent="0.3">
      <c r="A24" s="1">
        <v>30</v>
      </c>
      <c r="B24" s="1">
        <v>1.5249999999999999</v>
      </c>
      <c r="C24" s="5">
        <f t="shared" si="0"/>
        <v>0.61</v>
      </c>
      <c r="D24" s="5">
        <f t="shared" si="1"/>
        <v>1.22</v>
      </c>
      <c r="E24" s="1">
        <v>5.22</v>
      </c>
      <c r="F24" s="1">
        <v>5.7</v>
      </c>
      <c r="G24" s="1">
        <v>3.14</v>
      </c>
      <c r="H24" s="1">
        <v>152</v>
      </c>
      <c r="I24" s="1">
        <v>2.0999999999999999E-3</v>
      </c>
      <c r="J24" s="1">
        <v>158</v>
      </c>
      <c r="K24" s="4"/>
    </row>
    <row r="25" spans="1:11" x14ac:dyDescent="0.3">
      <c r="A25" s="1">
        <v>31</v>
      </c>
      <c r="B25" s="1">
        <v>4.57</v>
      </c>
      <c r="C25" s="5">
        <f t="shared" si="0"/>
        <v>1.8280000000000003</v>
      </c>
      <c r="D25" s="5">
        <f t="shared" si="1"/>
        <v>3.6560000000000006</v>
      </c>
      <c r="E25" s="1">
        <v>9.23</v>
      </c>
      <c r="F25" s="1">
        <v>2.8</v>
      </c>
      <c r="G25" s="1">
        <v>3.14</v>
      </c>
      <c r="H25" s="1">
        <v>366</v>
      </c>
      <c r="I25" s="1">
        <v>3.1276999999999999E-2</v>
      </c>
      <c r="J25" s="1">
        <v>364</v>
      </c>
      <c r="K25" s="4"/>
    </row>
    <row r="26" spans="1:11" x14ac:dyDescent="0.3">
      <c r="A26" s="1">
        <v>32</v>
      </c>
      <c r="B26" s="1">
        <v>3.05</v>
      </c>
      <c r="C26" s="5">
        <f t="shared" si="0"/>
        <v>1.22</v>
      </c>
      <c r="D26" s="5">
        <f t="shared" si="1"/>
        <v>2.44</v>
      </c>
      <c r="E26" s="1">
        <v>2.84</v>
      </c>
      <c r="F26" s="1">
        <v>0.6</v>
      </c>
      <c r="G26" s="1">
        <v>3.14</v>
      </c>
      <c r="H26" s="1">
        <v>168</v>
      </c>
      <c r="I26" s="1">
        <v>5.6563000000000002E-2</v>
      </c>
      <c r="J26" s="1">
        <v>164</v>
      </c>
    </row>
    <row r="27" spans="1:11" x14ac:dyDescent="0.3">
      <c r="A27" s="1">
        <v>35</v>
      </c>
      <c r="B27" s="1">
        <v>5.335</v>
      </c>
      <c r="C27" s="5">
        <f t="shared" si="0"/>
        <v>2.1339999999999999</v>
      </c>
      <c r="D27" s="5">
        <f t="shared" si="1"/>
        <v>4.2679999999999998</v>
      </c>
      <c r="E27" s="1">
        <v>18.27</v>
      </c>
      <c r="F27" s="1">
        <v>1.9</v>
      </c>
      <c r="G27" s="1">
        <v>3.14</v>
      </c>
      <c r="H27" s="1">
        <v>229</v>
      </c>
      <c r="I27" s="1">
        <v>0.25107499999999999</v>
      </c>
      <c r="J27" s="1">
        <v>239</v>
      </c>
      <c r="K27" s="4" t="s">
        <v>24</v>
      </c>
    </row>
    <row r="28" spans="1:11" x14ac:dyDescent="0.3">
      <c r="A28" s="1">
        <v>36</v>
      </c>
      <c r="B28" s="1">
        <v>4.57</v>
      </c>
      <c r="C28" s="5">
        <f t="shared" si="0"/>
        <v>1.8280000000000003</v>
      </c>
      <c r="D28" s="5">
        <f t="shared" si="1"/>
        <v>3.6560000000000006</v>
      </c>
      <c r="E28" s="1">
        <v>3.23</v>
      </c>
      <c r="F28" s="1">
        <v>0.1</v>
      </c>
      <c r="G28" s="1">
        <v>3.14</v>
      </c>
      <c r="H28" s="1">
        <v>198</v>
      </c>
      <c r="I28" s="1">
        <v>0.998</v>
      </c>
      <c r="J28" s="1">
        <v>196</v>
      </c>
      <c r="K28" s="4" t="s">
        <v>32</v>
      </c>
    </row>
    <row r="29" spans="1:11" x14ac:dyDescent="0.3">
      <c r="A29" s="1">
        <v>37</v>
      </c>
      <c r="B29" s="1">
        <v>7.62</v>
      </c>
      <c r="C29" s="5">
        <f t="shared" si="0"/>
        <v>3.048</v>
      </c>
      <c r="D29" s="5">
        <f t="shared" si="1"/>
        <v>6.0960000000000001</v>
      </c>
      <c r="E29" s="1">
        <v>6.01</v>
      </c>
      <c r="F29" s="1">
        <v>10</v>
      </c>
      <c r="G29" s="1">
        <v>3.14</v>
      </c>
      <c r="H29" s="1">
        <v>853</v>
      </c>
      <c r="I29" s="1">
        <v>6.8900000000000003E-3</v>
      </c>
      <c r="J29" s="1">
        <v>845</v>
      </c>
      <c r="K29" s="4"/>
    </row>
    <row r="30" spans="1:11" x14ac:dyDescent="0.3">
      <c r="A30" s="1">
        <v>38</v>
      </c>
      <c r="B30" s="1">
        <v>1.22</v>
      </c>
      <c r="C30" s="5">
        <f t="shared" si="0"/>
        <v>0.48799999999999999</v>
      </c>
      <c r="D30" s="5">
        <f t="shared" si="1"/>
        <v>0.97599999999999998</v>
      </c>
      <c r="E30" s="1">
        <v>0.96</v>
      </c>
      <c r="F30" s="1">
        <v>3.9</v>
      </c>
      <c r="G30" s="1">
        <v>3.14</v>
      </c>
      <c r="H30" s="1">
        <v>30</v>
      </c>
      <c r="I30" s="1">
        <v>2.0999999999999999E-3</v>
      </c>
      <c r="J30" s="1">
        <v>31</v>
      </c>
      <c r="K30" s="4"/>
    </row>
    <row r="31" spans="1:11" x14ac:dyDescent="0.3">
      <c r="A31" s="1">
        <v>39</v>
      </c>
      <c r="B31" s="1">
        <v>1.22</v>
      </c>
      <c r="C31" s="5">
        <f t="shared" si="0"/>
        <v>0.48799999999999999</v>
      </c>
      <c r="D31" s="5">
        <f t="shared" si="1"/>
        <v>0.97599999999999998</v>
      </c>
      <c r="E31" s="1">
        <v>13.8</v>
      </c>
      <c r="F31" s="1">
        <v>7.6</v>
      </c>
      <c r="G31" s="1">
        <v>3.14</v>
      </c>
      <c r="H31" s="1">
        <v>64</v>
      </c>
      <c r="I31" s="1">
        <v>9.8799999999999999E-3</v>
      </c>
      <c r="J31" s="1">
        <v>57</v>
      </c>
      <c r="K31" s="4"/>
    </row>
    <row r="32" spans="1:11" x14ac:dyDescent="0.3">
      <c r="A32" s="1">
        <v>40</v>
      </c>
      <c r="B32" s="1">
        <v>8.3800000000000008</v>
      </c>
      <c r="C32" s="5">
        <f t="shared" si="0"/>
        <v>3.3520000000000003</v>
      </c>
      <c r="D32" s="5">
        <f t="shared" si="1"/>
        <v>6.7040000000000006</v>
      </c>
      <c r="E32" s="1">
        <v>32.56</v>
      </c>
      <c r="F32" s="1">
        <v>9.82</v>
      </c>
      <c r="G32" s="1">
        <v>3.14</v>
      </c>
      <c r="H32" s="1">
        <v>244</v>
      </c>
      <c r="I32" s="1">
        <v>0.16445899999999999</v>
      </c>
      <c r="J32" s="1">
        <v>253</v>
      </c>
      <c r="K32" s="4" t="s">
        <v>32</v>
      </c>
    </row>
    <row r="33" spans="1:11" x14ac:dyDescent="0.3">
      <c r="A33" s="1">
        <v>41</v>
      </c>
      <c r="B33" s="1">
        <v>4.57</v>
      </c>
      <c r="C33" s="5">
        <f t="shared" si="0"/>
        <v>1.8280000000000003</v>
      </c>
      <c r="D33" s="5">
        <f t="shared" si="1"/>
        <v>3.6560000000000006</v>
      </c>
      <c r="E33" s="1">
        <v>15.6</v>
      </c>
      <c r="F33" s="1">
        <v>10.43</v>
      </c>
      <c r="G33" s="7">
        <v>3.14</v>
      </c>
      <c r="H33" s="1">
        <v>549</v>
      </c>
      <c r="I33" s="1">
        <v>8.4209999999999997E-3</v>
      </c>
      <c r="J33" s="1">
        <v>550</v>
      </c>
      <c r="K33" s="4"/>
    </row>
    <row r="34" spans="1:11" x14ac:dyDescent="0.3">
      <c r="A34" s="1">
        <v>42</v>
      </c>
      <c r="B34" s="1">
        <v>3.05</v>
      </c>
      <c r="C34" s="5">
        <f t="shared" si="0"/>
        <v>1.22</v>
      </c>
      <c r="D34" s="5">
        <f t="shared" si="1"/>
        <v>2.44</v>
      </c>
      <c r="E34" s="1">
        <v>9.23</v>
      </c>
      <c r="F34" s="1">
        <v>7.7</v>
      </c>
      <c r="G34" s="7">
        <v>3.14</v>
      </c>
      <c r="H34" s="1">
        <v>152</v>
      </c>
      <c r="I34" s="1">
        <v>1.1825E-2</v>
      </c>
      <c r="J34" s="1">
        <v>157</v>
      </c>
      <c r="K34" s="4"/>
    </row>
    <row r="35" spans="1:11" x14ac:dyDescent="0.3">
      <c r="A35" s="1">
        <v>43</v>
      </c>
      <c r="B35" s="1">
        <v>1.83</v>
      </c>
      <c r="C35" s="5">
        <f t="shared" si="0"/>
        <v>0.7320000000000001</v>
      </c>
      <c r="D35" s="5">
        <f t="shared" si="1"/>
        <v>1.4640000000000002</v>
      </c>
      <c r="E35" s="1">
        <v>3.13</v>
      </c>
      <c r="F35" s="1">
        <v>8</v>
      </c>
      <c r="G35" s="7">
        <v>3.14</v>
      </c>
      <c r="H35" s="1">
        <v>96</v>
      </c>
      <c r="I35" s="1">
        <v>2.0999999999999999E-3</v>
      </c>
      <c r="J35" s="1">
        <v>106</v>
      </c>
      <c r="K35" s="4"/>
    </row>
    <row r="36" spans="1:11" x14ac:dyDescent="0.3">
      <c r="A36" s="1">
        <v>44</v>
      </c>
      <c r="B36" s="1">
        <v>6</v>
      </c>
      <c r="C36" s="5">
        <f t="shared" si="0"/>
        <v>2.4000000000000004</v>
      </c>
      <c r="D36" s="5">
        <f t="shared" si="1"/>
        <v>4.8000000000000007</v>
      </c>
      <c r="E36" s="1">
        <v>7.0000000000000007E-2</v>
      </c>
      <c r="F36" s="1">
        <v>1</v>
      </c>
      <c r="G36" s="1">
        <v>3.17</v>
      </c>
      <c r="H36" s="1">
        <v>140</v>
      </c>
      <c r="I36" s="1">
        <v>5.0699999999999999E-3</v>
      </c>
      <c r="J36" s="1">
        <v>144</v>
      </c>
      <c r="K36" s="4"/>
    </row>
    <row r="37" spans="1:11" x14ac:dyDescent="0.3">
      <c r="A37" s="1">
        <v>45</v>
      </c>
      <c r="B37" s="1">
        <v>6</v>
      </c>
      <c r="C37" s="5">
        <f t="shared" si="0"/>
        <v>2.4000000000000004</v>
      </c>
      <c r="D37" s="5">
        <f t="shared" si="1"/>
        <v>4.8000000000000007</v>
      </c>
      <c r="E37" s="1">
        <v>0.04</v>
      </c>
      <c r="F37" s="1">
        <v>1</v>
      </c>
      <c r="G37" s="1">
        <v>3.13</v>
      </c>
      <c r="H37" s="1">
        <v>90</v>
      </c>
      <c r="I37" s="1">
        <v>6.0410000000000004E-3</v>
      </c>
      <c r="J37" s="1">
        <v>85</v>
      </c>
    </row>
    <row r="38" spans="1:11" x14ac:dyDescent="0.3">
      <c r="A38" s="1">
        <v>46</v>
      </c>
      <c r="B38" s="1">
        <v>6</v>
      </c>
      <c r="C38" s="5">
        <f t="shared" si="0"/>
        <v>2.4000000000000004</v>
      </c>
      <c r="D38" s="5">
        <f t="shared" si="1"/>
        <v>4.8000000000000007</v>
      </c>
      <c r="E38" s="1">
        <v>1.3</v>
      </c>
      <c r="F38" s="1">
        <v>1</v>
      </c>
      <c r="G38" s="1">
        <v>3.17</v>
      </c>
      <c r="H38" s="1">
        <v>120</v>
      </c>
      <c r="I38" s="1">
        <v>6.6217999999999999E-2</v>
      </c>
      <c r="J38" s="1">
        <v>130</v>
      </c>
    </row>
    <row r="39" spans="1:11" x14ac:dyDescent="0.3">
      <c r="A39" s="1">
        <v>47</v>
      </c>
      <c r="B39" s="1">
        <v>6</v>
      </c>
      <c r="C39" s="5">
        <f t="shared" si="0"/>
        <v>2.4000000000000004</v>
      </c>
      <c r="D39" s="5">
        <f t="shared" si="1"/>
        <v>4.8000000000000007</v>
      </c>
      <c r="E39" s="1">
        <v>2.4</v>
      </c>
      <c r="F39" s="1">
        <v>2</v>
      </c>
      <c r="G39" s="1">
        <v>3.17</v>
      </c>
      <c r="H39" s="1">
        <v>90</v>
      </c>
      <c r="I39" s="1">
        <v>9.7278000000000003E-2</v>
      </c>
      <c r="J39" s="1">
        <v>89</v>
      </c>
      <c r="K39" s="4"/>
    </row>
    <row r="40" spans="1:11" x14ac:dyDescent="0.3">
      <c r="A40" s="1">
        <v>48</v>
      </c>
      <c r="B40" s="1">
        <v>6</v>
      </c>
      <c r="C40" s="5">
        <f t="shared" si="0"/>
        <v>2.4000000000000004</v>
      </c>
      <c r="D40" s="5">
        <f t="shared" si="1"/>
        <v>4.8000000000000007</v>
      </c>
      <c r="E40" s="1">
        <v>1.4</v>
      </c>
      <c r="F40" s="1">
        <v>2</v>
      </c>
      <c r="G40" s="1">
        <v>3.17</v>
      </c>
      <c r="H40" s="1">
        <v>60</v>
      </c>
      <c r="I40" s="1">
        <v>9.7278000000000003E-2</v>
      </c>
      <c r="J40" s="1">
        <v>55</v>
      </c>
      <c r="K40" s="4"/>
    </row>
    <row r="41" spans="1:11" x14ac:dyDescent="0.3">
      <c r="A41" s="1">
        <v>49</v>
      </c>
      <c r="B41" s="1">
        <v>6</v>
      </c>
      <c r="C41" s="5">
        <f t="shared" si="0"/>
        <v>2.4000000000000004</v>
      </c>
      <c r="D41" s="5">
        <f t="shared" si="1"/>
        <v>4.8000000000000007</v>
      </c>
      <c r="E41" s="1">
        <v>0.7</v>
      </c>
      <c r="F41" s="1">
        <v>2</v>
      </c>
      <c r="G41" s="1">
        <v>3.17</v>
      </c>
      <c r="H41" s="1">
        <v>90</v>
      </c>
      <c r="I41" s="1">
        <v>2.7394000000000002E-2</v>
      </c>
      <c r="J41" s="1">
        <v>87</v>
      </c>
    </row>
    <row r="42" spans="1:11" x14ac:dyDescent="0.3">
      <c r="A42" s="1">
        <v>52</v>
      </c>
      <c r="B42" s="1">
        <v>7.5</v>
      </c>
      <c r="C42" s="5">
        <f t="shared" si="0"/>
        <v>3</v>
      </c>
      <c r="D42" s="5">
        <f t="shared" si="1"/>
        <v>6</v>
      </c>
      <c r="E42" s="1">
        <v>0.31</v>
      </c>
      <c r="F42" s="1">
        <v>1</v>
      </c>
      <c r="G42" s="1">
        <v>3.14</v>
      </c>
      <c r="H42" s="1">
        <v>160</v>
      </c>
      <c r="I42" s="1">
        <v>1.9629000000000001E-2</v>
      </c>
      <c r="J42" s="1">
        <v>159</v>
      </c>
      <c r="K42" s="4"/>
    </row>
    <row r="43" spans="1:11" x14ac:dyDescent="0.3">
      <c r="A43" s="1">
        <v>54</v>
      </c>
      <c r="B43" s="1">
        <v>5.5</v>
      </c>
      <c r="C43" s="5">
        <f t="shared" si="0"/>
        <v>2.2000000000000002</v>
      </c>
      <c r="D43" s="5">
        <f t="shared" si="1"/>
        <v>4.4000000000000004</v>
      </c>
      <c r="E43" s="1">
        <v>33</v>
      </c>
      <c r="F43" s="1">
        <v>7.5</v>
      </c>
      <c r="G43" s="1">
        <v>3.14</v>
      </c>
      <c r="H43" s="1">
        <v>250</v>
      </c>
      <c r="I43" s="1">
        <v>0.103246</v>
      </c>
      <c r="J43" s="1">
        <v>252</v>
      </c>
      <c r="K43" s="4" t="s">
        <v>32</v>
      </c>
    </row>
    <row r="44" spans="1:11" x14ac:dyDescent="0.3">
      <c r="A44" s="1">
        <v>57</v>
      </c>
      <c r="B44" s="1">
        <v>5</v>
      </c>
      <c r="C44" s="5">
        <f t="shared" si="0"/>
        <v>2</v>
      </c>
      <c r="D44" s="5">
        <f t="shared" si="1"/>
        <v>4</v>
      </c>
      <c r="E44" s="1">
        <v>0.01</v>
      </c>
      <c r="F44" s="1">
        <v>4</v>
      </c>
      <c r="G44" s="1">
        <v>3.08</v>
      </c>
      <c r="H44" s="1">
        <v>100</v>
      </c>
      <c r="I44" s="1">
        <v>2.8289999999999999E-2</v>
      </c>
      <c r="J44" s="1">
        <v>95</v>
      </c>
      <c r="K44" s="4"/>
    </row>
    <row r="45" spans="1:11" x14ac:dyDescent="0.3">
      <c r="A45" s="1">
        <v>61</v>
      </c>
      <c r="B45" s="1">
        <v>1.5</v>
      </c>
      <c r="C45" s="5">
        <f t="shared" si="0"/>
        <v>0.60000000000000009</v>
      </c>
      <c r="D45" s="5">
        <f t="shared" si="1"/>
        <v>1.2000000000000002</v>
      </c>
      <c r="E45" s="1">
        <v>8.9</v>
      </c>
      <c r="F45" s="1">
        <v>0.99</v>
      </c>
      <c r="G45" s="1">
        <v>3.14</v>
      </c>
      <c r="H45" s="1">
        <v>250</v>
      </c>
      <c r="I45" s="1">
        <v>1.7661E-2</v>
      </c>
      <c r="J45" s="1">
        <v>242</v>
      </c>
    </row>
    <row r="46" spans="1:11" x14ac:dyDescent="0.3">
      <c r="C46" s="6"/>
      <c r="D4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5"/>
  <sheetViews>
    <sheetView topLeftCell="A37" workbookViewId="0">
      <selection activeCell="C64" sqref="C64"/>
    </sheetView>
  </sheetViews>
  <sheetFormatPr defaultRowHeight="14.4" x14ac:dyDescent="0.3"/>
  <cols>
    <col min="4" max="4" width="17.77734375" customWidth="1"/>
    <col min="11" max="11" width="9.109375" style="4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  <c r="K1" s="3"/>
    </row>
    <row r="2" spans="1:11" x14ac:dyDescent="0.3">
      <c r="A2" s="1">
        <v>1</v>
      </c>
      <c r="B2" s="1">
        <v>4.5720000000000001</v>
      </c>
      <c r="C2" s="5">
        <f t="shared" ref="C2:C44" si="0">0.5*B2</f>
        <v>2.286</v>
      </c>
      <c r="D2" s="5">
        <f t="shared" ref="D2:D44" si="1">2*C2</f>
        <v>4.5720000000000001</v>
      </c>
      <c r="E2" s="1">
        <v>3.55</v>
      </c>
      <c r="F2" s="1">
        <v>6.9</v>
      </c>
      <c r="G2" s="1">
        <v>3.14</v>
      </c>
      <c r="H2" s="1">
        <v>274.32</v>
      </c>
      <c r="I2" s="1">
        <v>9.9229999999999995E-3</v>
      </c>
      <c r="J2" s="1">
        <v>273</v>
      </c>
    </row>
    <row r="3" spans="1:11" x14ac:dyDescent="0.3">
      <c r="A3" s="1">
        <v>2</v>
      </c>
      <c r="B3" s="1">
        <v>1.524</v>
      </c>
      <c r="C3" s="5">
        <f t="shared" si="0"/>
        <v>0.76200000000000001</v>
      </c>
      <c r="D3" s="5">
        <f t="shared" si="1"/>
        <v>1.524</v>
      </c>
      <c r="E3" s="1">
        <v>28</v>
      </c>
      <c r="F3" s="1">
        <v>7.1</v>
      </c>
      <c r="G3" s="1">
        <v>3.14</v>
      </c>
      <c r="H3" s="1">
        <v>228.6</v>
      </c>
      <c r="I3" s="1">
        <v>1.0853E-2</v>
      </c>
      <c r="J3" s="1">
        <v>231</v>
      </c>
    </row>
    <row r="4" spans="1:11" x14ac:dyDescent="0.3">
      <c r="A4" s="1">
        <v>4</v>
      </c>
      <c r="B4" s="1">
        <v>3.048</v>
      </c>
      <c r="C4" s="5">
        <f t="shared" si="0"/>
        <v>1.524</v>
      </c>
      <c r="D4" s="5">
        <f t="shared" si="1"/>
        <v>3.048</v>
      </c>
      <c r="E4" s="1">
        <v>43.28</v>
      </c>
      <c r="F4" s="1">
        <v>12.6</v>
      </c>
      <c r="G4" s="1">
        <v>3.14</v>
      </c>
      <c r="H4" s="1">
        <v>213.36</v>
      </c>
      <c r="I4" s="1">
        <v>4.1001999999999997E-2</v>
      </c>
      <c r="J4" s="1">
        <v>221</v>
      </c>
    </row>
    <row r="5" spans="1:11" x14ac:dyDescent="0.3">
      <c r="A5" s="1">
        <v>6</v>
      </c>
      <c r="B5" s="1">
        <v>3.81</v>
      </c>
      <c r="C5" s="5">
        <f t="shared" si="0"/>
        <v>1.905</v>
      </c>
      <c r="D5" s="5">
        <f t="shared" si="1"/>
        <v>3.81</v>
      </c>
      <c r="E5" s="1">
        <v>4.03</v>
      </c>
      <c r="F5" s="1">
        <v>3.8</v>
      </c>
      <c r="G5" s="1">
        <v>3.14</v>
      </c>
      <c r="H5" s="1">
        <v>91.44</v>
      </c>
      <c r="I5" s="1">
        <v>4.8783E-2</v>
      </c>
      <c r="J5" s="1">
        <v>92</v>
      </c>
    </row>
    <row r="6" spans="1:11" x14ac:dyDescent="0.3">
      <c r="A6" s="1">
        <v>7</v>
      </c>
      <c r="B6" s="1">
        <v>2.286</v>
      </c>
      <c r="C6" s="5">
        <f t="shared" si="0"/>
        <v>1.143</v>
      </c>
      <c r="D6" s="5">
        <f t="shared" si="1"/>
        <v>2.286</v>
      </c>
      <c r="E6" s="1">
        <v>14.1</v>
      </c>
      <c r="F6" s="1">
        <v>3.7</v>
      </c>
      <c r="G6" s="1">
        <v>3.14</v>
      </c>
      <c r="H6" s="1">
        <v>146.304</v>
      </c>
      <c r="I6" s="1">
        <v>4.1001999999999997E-2</v>
      </c>
      <c r="J6" s="1">
        <v>153</v>
      </c>
    </row>
    <row r="7" spans="1:11" x14ac:dyDescent="0.3">
      <c r="A7" s="1">
        <v>8</v>
      </c>
      <c r="B7" s="1">
        <v>1.524</v>
      </c>
      <c r="C7" s="5">
        <f t="shared" si="0"/>
        <v>0.76200000000000001</v>
      </c>
      <c r="D7" s="5">
        <f t="shared" si="1"/>
        <v>1.524</v>
      </c>
      <c r="E7" s="1">
        <v>29.64</v>
      </c>
      <c r="F7" s="1">
        <v>2.4</v>
      </c>
      <c r="G7" s="1">
        <v>3.14</v>
      </c>
      <c r="H7" s="1">
        <v>76.2</v>
      </c>
      <c r="I7" s="1">
        <v>0.37556200000000001</v>
      </c>
      <c r="J7" s="1">
        <v>73</v>
      </c>
      <c r="K7" s="4" t="s">
        <v>24</v>
      </c>
    </row>
    <row r="8" spans="1:11" x14ac:dyDescent="0.3">
      <c r="A8" s="1">
        <v>9</v>
      </c>
      <c r="B8" s="1">
        <v>3.81</v>
      </c>
      <c r="C8" s="5">
        <f t="shared" si="0"/>
        <v>1.905</v>
      </c>
      <c r="D8" s="5">
        <f t="shared" si="1"/>
        <v>3.81</v>
      </c>
      <c r="E8" s="1">
        <v>0.68</v>
      </c>
      <c r="F8" s="1">
        <v>2.1</v>
      </c>
      <c r="G8" s="1">
        <v>3.14</v>
      </c>
      <c r="H8" s="1">
        <v>106.68</v>
      </c>
      <c r="I8" s="1">
        <v>1.3771E-2</v>
      </c>
      <c r="J8" s="1">
        <v>98</v>
      </c>
    </row>
    <row r="9" spans="1:11" x14ac:dyDescent="0.3">
      <c r="A9" s="1">
        <v>10</v>
      </c>
      <c r="B9" s="1">
        <v>5.3339999999999996</v>
      </c>
      <c r="C9" s="5">
        <f t="shared" si="0"/>
        <v>2.6669999999999998</v>
      </c>
      <c r="D9" s="5">
        <f t="shared" si="1"/>
        <v>5.3339999999999996</v>
      </c>
      <c r="E9" s="1">
        <v>18.27</v>
      </c>
      <c r="F9" s="1">
        <v>1.9</v>
      </c>
      <c r="G9" s="1">
        <v>3.14</v>
      </c>
      <c r="H9" s="1">
        <v>350.52</v>
      </c>
      <c r="I9" s="1">
        <v>0.205986</v>
      </c>
      <c r="J9" s="1">
        <v>360</v>
      </c>
      <c r="K9" s="4" t="s">
        <v>24</v>
      </c>
    </row>
    <row r="10" spans="1:11" x14ac:dyDescent="0.3">
      <c r="A10" s="1">
        <v>11</v>
      </c>
      <c r="B10" s="1">
        <v>3.2004000000000001</v>
      </c>
      <c r="C10" s="5">
        <f t="shared" si="0"/>
        <v>1.6002000000000001</v>
      </c>
      <c r="D10" s="5">
        <f t="shared" si="1"/>
        <v>3.2004000000000001</v>
      </c>
      <c r="E10" s="1">
        <v>1.806</v>
      </c>
      <c r="F10" s="1">
        <v>5</v>
      </c>
      <c r="G10" s="1">
        <v>3.14</v>
      </c>
      <c r="H10" s="1">
        <v>182.88</v>
      </c>
      <c r="I10" s="1">
        <v>5.5040000000000002E-3</v>
      </c>
      <c r="J10" s="1">
        <v>180</v>
      </c>
    </row>
    <row r="11" spans="1:11" x14ac:dyDescent="0.3">
      <c r="A11" s="1">
        <v>13</v>
      </c>
      <c r="B11" s="1">
        <v>1.524</v>
      </c>
      <c r="C11" s="5">
        <f t="shared" si="0"/>
        <v>0.76200000000000001</v>
      </c>
      <c r="D11" s="5">
        <f t="shared" si="1"/>
        <v>1.524</v>
      </c>
      <c r="E11" s="1">
        <v>12.84</v>
      </c>
      <c r="F11" s="1">
        <v>6.5</v>
      </c>
      <c r="G11" s="1">
        <v>3.14</v>
      </c>
      <c r="H11" s="1">
        <v>109.72799999999999</v>
      </c>
      <c r="I11" s="1">
        <v>1.1825E-2</v>
      </c>
      <c r="J11" s="1">
        <v>111</v>
      </c>
    </row>
    <row r="12" spans="1:11" x14ac:dyDescent="0.3">
      <c r="A12" s="1">
        <v>14</v>
      </c>
      <c r="B12" s="1">
        <v>3.81</v>
      </c>
      <c r="C12" s="5">
        <f t="shared" si="0"/>
        <v>1.905</v>
      </c>
      <c r="D12" s="5">
        <f t="shared" si="1"/>
        <v>3.81</v>
      </c>
      <c r="E12" s="1">
        <v>8.18</v>
      </c>
      <c r="F12" s="1">
        <v>8.6</v>
      </c>
      <c r="G12" s="1">
        <v>3.14</v>
      </c>
      <c r="H12" s="1">
        <v>219.45599999999999</v>
      </c>
      <c r="I12" s="1">
        <v>1.5716000000000001E-2</v>
      </c>
      <c r="J12" s="1">
        <v>221</v>
      </c>
    </row>
    <row r="13" spans="1:11" x14ac:dyDescent="0.3">
      <c r="A13" s="1">
        <v>15</v>
      </c>
      <c r="B13" s="1">
        <v>1.524</v>
      </c>
      <c r="C13" s="5">
        <f t="shared" si="0"/>
        <v>0.76200000000000001</v>
      </c>
      <c r="D13" s="5">
        <f t="shared" si="1"/>
        <v>1.524</v>
      </c>
      <c r="E13" s="1">
        <v>13.8</v>
      </c>
      <c r="F13" s="1">
        <v>9</v>
      </c>
      <c r="G13" s="1">
        <v>3.14</v>
      </c>
      <c r="H13" s="1">
        <v>96.012</v>
      </c>
      <c r="I13" s="1">
        <v>9.8799999999999999E-3</v>
      </c>
      <c r="J13" s="1">
        <v>101</v>
      </c>
    </row>
    <row r="14" spans="1:11" x14ac:dyDescent="0.3">
      <c r="A14" s="1">
        <v>16</v>
      </c>
      <c r="B14" s="1">
        <v>3.048</v>
      </c>
      <c r="C14" s="5">
        <f t="shared" si="0"/>
        <v>1.524</v>
      </c>
      <c r="D14" s="5">
        <f t="shared" si="1"/>
        <v>3.048</v>
      </c>
      <c r="E14" s="1">
        <v>13.118</v>
      </c>
      <c r="F14" s="1">
        <v>9.3000000000000007</v>
      </c>
      <c r="G14" s="1">
        <v>3.14</v>
      </c>
      <c r="H14" s="1">
        <v>53.34</v>
      </c>
      <c r="I14" s="1">
        <v>9.5464999999999994E-2</v>
      </c>
      <c r="J14" s="1">
        <v>50</v>
      </c>
    </row>
    <row r="15" spans="1:11" x14ac:dyDescent="0.3">
      <c r="A15" s="1">
        <v>17</v>
      </c>
      <c r="B15" s="1">
        <v>2.286</v>
      </c>
      <c r="C15" s="5">
        <f t="shared" si="0"/>
        <v>1.143</v>
      </c>
      <c r="D15" s="5">
        <f t="shared" si="1"/>
        <v>2.286</v>
      </c>
      <c r="E15" s="1">
        <v>84.9</v>
      </c>
      <c r="F15" s="1">
        <v>8.1999999999999993</v>
      </c>
      <c r="G15" s="1">
        <v>3.14</v>
      </c>
      <c r="H15" s="1">
        <v>128.01599999999999</v>
      </c>
      <c r="I15" s="1" t="s">
        <v>62</v>
      </c>
      <c r="J15" s="1">
        <v>123</v>
      </c>
      <c r="K15" s="4" t="s">
        <v>24</v>
      </c>
    </row>
    <row r="16" spans="1:11" x14ac:dyDescent="0.3">
      <c r="A16" s="1">
        <v>18</v>
      </c>
      <c r="B16" s="1">
        <v>3.81</v>
      </c>
      <c r="C16" s="5">
        <f t="shared" si="0"/>
        <v>1.905</v>
      </c>
      <c r="D16" s="5">
        <f t="shared" si="1"/>
        <v>3.81</v>
      </c>
      <c r="E16" s="1">
        <v>22.9</v>
      </c>
      <c r="F16" s="1">
        <v>8.3000000000000007</v>
      </c>
      <c r="G16" s="1">
        <v>3.14</v>
      </c>
      <c r="H16" s="1">
        <v>914.4</v>
      </c>
      <c r="I16" s="1">
        <v>9.8799999999999999E-3</v>
      </c>
      <c r="J16" s="1">
        <v>919</v>
      </c>
    </row>
    <row r="17" spans="1:11" x14ac:dyDescent="0.3">
      <c r="A17" s="1">
        <v>19</v>
      </c>
      <c r="B17" s="1">
        <v>4.5720000000000001</v>
      </c>
      <c r="C17" s="5">
        <f t="shared" si="0"/>
        <v>2.286</v>
      </c>
      <c r="D17" s="5">
        <f t="shared" si="1"/>
        <v>4.5720000000000001</v>
      </c>
      <c r="E17" s="1">
        <v>49.3</v>
      </c>
      <c r="F17" s="1">
        <v>7.5</v>
      </c>
      <c r="G17" s="1">
        <v>3.14</v>
      </c>
      <c r="H17" s="8">
        <v>192024</v>
      </c>
      <c r="I17" s="1">
        <v>0.25257499999999999</v>
      </c>
      <c r="J17" s="1">
        <v>192</v>
      </c>
      <c r="K17" s="4" t="s">
        <v>24</v>
      </c>
    </row>
    <row r="18" spans="1:11" x14ac:dyDescent="0.3">
      <c r="A18" s="1">
        <v>20</v>
      </c>
      <c r="B18" s="1">
        <v>1.524</v>
      </c>
      <c r="C18" s="5">
        <f t="shared" si="0"/>
        <v>0.76200000000000001</v>
      </c>
      <c r="D18" s="5">
        <f t="shared" si="1"/>
        <v>1.524</v>
      </c>
      <c r="E18" s="1">
        <v>90.21</v>
      </c>
      <c r="F18" s="1">
        <v>6.8</v>
      </c>
      <c r="G18" s="1">
        <v>3.14</v>
      </c>
      <c r="H18" s="1">
        <v>60.96</v>
      </c>
      <c r="I18" s="1">
        <v>0.50004999999999999</v>
      </c>
      <c r="J18" s="1">
        <v>68</v>
      </c>
      <c r="K18" s="4" t="s">
        <v>24</v>
      </c>
    </row>
    <row r="19" spans="1:11" x14ac:dyDescent="0.3">
      <c r="A19" s="1">
        <v>21</v>
      </c>
      <c r="B19" s="1">
        <v>2.286</v>
      </c>
      <c r="C19" s="5">
        <f t="shared" si="0"/>
        <v>1.143</v>
      </c>
      <c r="D19" s="5">
        <f t="shared" si="1"/>
        <v>2.286</v>
      </c>
      <c r="E19" s="1">
        <v>0.46899999999999997</v>
      </c>
      <c r="F19" s="1">
        <v>11.2</v>
      </c>
      <c r="G19" s="1">
        <v>3.14</v>
      </c>
      <c r="H19" s="1">
        <v>60.96</v>
      </c>
      <c r="I19" s="1">
        <v>2.0999999999999999E-3</v>
      </c>
      <c r="J19" s="1">
        <v>52</v>
      </c>
    </row>
    <row r="20" spans="1:11" x14ac:dyDescent="0.3">
      <c r="A20" s="1">
        <v>22</v>
      </c>
      <c r="B20" s="1">
        <v>2.286</v>
      </c>
      <c r="C20" s="5">
        <f t="shared" si="0"/>
        <v>1.143</v>
      </c>
      <c r="D20" s="5">
        <f t="shared" si="1"/>
        <v>2.286</v>
      </c>
      <c r="E20" s="1">
        <v>20.95</v>
      </c>
      <c r="F20" s="1">
        <v>8.52</v>
      </c>
      <c r="G20" s="1">
        <v>3.14</v>
      </c>
      <c r="H20" s="1">
        <v>106.68</v>
      </c>
      <c r="I20" s="1">
        <v>4.1001999999999997E-2</v>
      </c>
      <c r="J20" s="1">
        <v>100</v>
      </c>
    </row>
    <row r="21" spans="1:11" x14ac:dyDescent="0.3">
      <c r="A21" s="1">
        <v>23</v>
      </c>
      <c r="B21" s="1">
        <v>11</v>
      </c>
      <c r="C21" s="5">
        <f t="shared" si="0"/>
        <v>5.5</v>
      </c>
      <c r="D21" s="5">
        <f t="shared" si="1"/>
        <v>11</v>
      </c>
      <c r="E21" s="1">
        <v>4.2460000000000004</v>
      </c>
      <c r="F21" s="1">
        <v>7.9</v>
      </c>
      <c r="G21" s="1">
        <v>3.14</v>
      </c>
      <c r="H21" s="1">
        <v>420</v>
      </c>
      <c r="I21" s="1">
        <v>3.9112000000000001E-2</v>
      </c>
      <c r="J21" s="1">
        <v>424</v>
      </c>
    </row>
    <row r="22" spans="1:11" x14ac:dyDescent="0.3">
      <c r="A22" s="1">
        <v>24</v>
      </c>
      <c r="B22" s="1">
        <v>3.048</v>
      </c>
      <c r="C22" s="5">
        <f t="shared" si="0"/>
        <v>1.524</v>
      </c>
      <c r="D22" s="5">
        <f t="shared" si="1"/>
        <v>3.048</v>
      </c>
      <c r="E22" s="1">
        <v>67</v>
      </c>
      <c r="F22" s="1">
        <v>3.7</v>
      </c>
      <c r="G22" s="1">
        <v>3.14</v>
      </c>
      <c r="H22" s="1">
        <v>207.26400000000001</v>
      </c>
      <c r="I22" s="1">
        <v>0.37556200000000001</v>
      </c>
      <c r="J22" s="1">
        <v>204</v>
      </c>
      <c r="K22" s="4" t="s">
        <v>24</v>
      </c>
    </row>
    <row r="23" spans="1:11" x14ac:dyDescent="0.3">
      <c r="A23" s="1">
        <v>26</v>
      </c>
      <c r="B23" s="1">
        <v>4.2671999999999999</v>
      </c>
      <c r="C23" s="5">
        <f t="shared" si="0"/>
        <v>2.1335999999999999</v>
      </c>
      <c r="D23" s="5">
        <f t="shared" si="1"/>
        <v>4.2671999999999999</v>
      </c>
      <c r="E23" s="1">
        <v>25.4</v>
      </c>
      <c r="F23" s="1">
        <v>5.5</v>
      </c>
      <c r="G23" s="1">
        <v>3.14</v>
      </c>
      <c r="H23" s="1">
        <v>71.3232</v>
      </c>
      <c r="I23" s="1">
        <v>0.74902500000000005</v>
      </c>
      <c r="J23" s="1">
        <v>66</v>
      </c>
      <c r="K23" s="4" t="s">
        <v>32</v>
      </c>
    </row>
    <row r="24" spans="1:11" x14ac:dyDescent="0.3">
      <c r="A24" s="1">
        <v>30</v>
      </c>
      <c r="B24" s="1">
        <v>1.5249999999999999</v>
      </c>
      <c r="C24" s="5">
        <f t="shared" si="0"/>
        <v>0.76249999999999996</v>
      </c>
      <c r="D24" s="5">
        <f t="shared" si="1"/>
        <v>1.5249999999999999</v>
      </c>
      <c r="E24" s="1">
        <v>5.22</v>
      </c>
      <c r="F24" s="1">
        <v>5.7</v>
      </c>
      <c r="G24" s="1">
        <v>3.14</v>
      </c>
      <c r="H24" s="1">
        <v>152</v>
      </c>
      <c r="I24" s="1">
        <v>3.5590000000000001E-3</v>
      </c>
      <c r="J24" s="1">
        <v>152</v>
      </c>
    </row>
    <row r="25" spans="1:11" x14ac:dyDescent="0.3">
      <c r="A25" s="1">
        <v>31</v>
      </c>
      <c r="B25" s="1">
        <v>4.57</v>
      </c>
      <c r="C25" s="5">
        <f t="shared" si="0"/>
        <v>2.2850000000000001</v>
      </c>
      <c r="D25" s="5">
        <f t="shared" si="1"/>
        <v>4.57</v>
      </c>
      <c r="E25" s="1">
        <v>9.23</v>
      </c>
      <c r="F25" s="1">
        <v>2.8</v>
      </c>
      <c r="G25" s="1">
        <v>3.14</v>
      </c>
      <c r="H25" s="1">
        <v>366</v>
      </c>
      <c r="I25" s="1">
        <v>5.0688999999999998E-2</v>
      </c>
      <c r="J25" s="1">
        <v>359</v>
      </c>
    </row>
    <row r="26" spans="1:11" x14ac:dyDescent="0.3">
      <c r="A26" s="1">
        <v>32</v>
      </c>
      <c r="B26" s="1">
        <v>3.05</v>
      </c>
      <c r="C26" s="5">
        <f t="shared" si="0"/>
        <v>1.5249999999999999</v>
      </c>
      <c r="D26" s="5">
        <f t="shared" si="1"/>
        <v>3.05</v>
      </c>
      <c r="E26" s="1">
        <v>2.84</v>
      </c>
      <c r="F26" s="1">
        <v>0.6</v>
      </c>
      <c r="G26" s="1">
        <v>3.14</v>
      </c>
      <c r="H26" s="1">
        <v>168</v>
      </c>
      <c r="I26" s="1">
        <v>9.5464999999999994E-2</v>
      </c>
      <c r="J26" s="1">
        <v>160</v>
      </c>
    </row>
    <row r="27" spans="1:11" x14ac:dyDescent="0.3">
      <c r="A27" s="1">
        <v>35</v>
      </c>
      <c r="B27" s="1">
        <v>5.335</v>
      </c>
      <c r="C27" s="5">
        <f t="shared" si="0"/>
        <v>2.6675</v>
      </c>
      <c r="D27" s="5">
        <f t="shared" si="1"/>
        <v>5.335</v>
      </c>
      <c r="E27" s="1">
        <v>18.27</v>
      </c>
      <c r="F27" s="1">
        <v>1.9</v>
      </c>
      <c r="G27" s="1">
        <v>3.14</v>
      </c>
      <c r="H27" s="1">
        <v>229</v>
      </c>
      <c r="I27" s="1">
        <v>0.37681199999999998</v>
      </c>
      <c r="J27" s="1">
        <v>229</v>
      </c>
      <c r="K27" s="4" t="s">
        <v>24</v>
      </c>
    </row>
    <row r="28" spans="1:11" x14ac:dyDescent="0.3">
      <c r="A28" s="1">
        <v>37</v>
      </c>
      <c r="B28" s="1">
        <v>7.62</v>
      </c>
      <c r="C28" s="5">
        <f t="shared" si="0"/>
        <v>3.81</v>
      </c>
      <c r="D28" s="5">
        <f t="shared" si="1"/>
        <v>7.62</v>
      </c>
      <c r="E28" s="1">
        <v>6.01</v>
      </c>
      <c r="F28" s="1">
        <v>10</v>
      </c>
      <c r="G28" s="1">
        <v>3.14</v>
      </c>
      <c r="H28" s="1">
        <v>853</v>
      </c>
      <c r="I28" s="1">
        <v>1.1063999999999999E-2</v>
      </c>
      <c r="J28" s="1">
        <v>858</v>
      </c>
    </row>
    <row r="29" spans="1:11" x14ac:dyDescent="0.3">
      <c r="A29" s="1">
        <v>38</v>
      </c>
      <c r="B29" s="1">
        <v>1.22</v>
      </c>
      <c r="C29" s="5">
        <f t="shared" si="0"/>
        <v>0.61</v>
      </c>
      <c r="D29" s="5">
        <f t="shared" si="1"/>
        <v>1.22</v>
      </c>
      <c r="E29" s="1">
        <v>0.96</v>
      </c>
      <c r="F29" s="1">
        <v>3.9</v>
      </c>
      <c r="G29" s="1">
        <v>3.14</v>
      </c>
      <c r="H29" s="1">
        <v>30</v>
      </c>
      <c r="I29" s="1">
        <v>5.9899999999999997E-3</v>
      </c>
      <c r="J29" s="1">
        <v>21</v>
      </c>
    </row>
    <row r="30" spans="1:11" x14ac:dyDescent="0.3">
      <c r="A30" s="1">
        <v>39</v>
      </c>
      <c r="B30" s="1">
        <v>1.22</v>
      </c>
      <c r="C30" s="5">
        <f t="shared" si="0"/>
        <v>0.61</v>
      </c>
      <c r="D30" s="5">
        <f t="shared" si="1"/>
        <v>1.22</v>
      </c>
      <c r="E30" s="1">
        <v>13.8</v>
      </c>
      <c r="F30" s="1">
        <v>7.6</v>
      </c>
      <c r="G30" s="1">
        <v>3.14</v>
      </c>
      <c r="H30" s="1">
        <v>64</v>
      </c>
      <c r="I30" s="1">
        <v>1.3771E-2</v>
      </c>
      <c r="J30" s="1">
        <v>63</v>
      </c>
    </row>
    <row r="31" spans="1:11" x14ac:dyDescent="0.3">
      <c r="A31" s="1">
        <v>40</v>
      </c>
      <c r="B31" s="1">
        <v>8.3800000000000008</v>
      </c>
      <c r="C31" s="5">
        <f t="shared" si="0"/>
        <v>4.1900000000000004</v>
      </c>
      <c r="D31" s="5">
        <f t="shared" si="1"/>
        <v>8.3800000000000008</v>
      </c>
      <c r="E31" s="1">
        <v>32.56</v>
      </c>
      <c r="F31" s="1">
        <v>9.82</v>
      </c>
      <c r="G31" s="1">
        <v>3.14</v>
      </c>
      <c r="H31" s="1">
        <v>244</v>
      </c>
      <c r="I31" s="1">
        <v>0.25707400000000002</v>
      </c>
      <c r="J31" s="1">
        <v>236</v>
      </c>
      <c r="K31" s="4" t="s">
        <v>32</v>
      </c>
    </row>
    <row r="32" spans="1:11" x14ac:dyDescent="0.3">
      <c r="A32" s="1">
        <v>41</v>
      </c>
      <c r="B32" s="1">
        <v>4.57</v>
      </c>
      <c r="C32" s="5">
        <f t="shared" si="0"/>
        <v>2.2850000000000001</v>
      </c>
      <c r="D32" s="5">
        <f t="shared" si="1"/>
        <v>4.57</v>
      </c>
      <c r="E32" s="1">
        <v>15.6</v>
      </c>
      <c r="F32" s="1">
        <v>10.43</v>
      </c>
      <c r="G32" s="1">
        <v>3.14</v>
      </c>
      <c r="H32" s="1">
        <v>549</v>
      </c>
      <c r="I32" s="1">
        <v>1.332E-2</v>
      </c>
      <c r="J32" s="1">
        <v>546</v>
      </c>
    </row>
    <row r="33" spans="1:11" x14ac:dyDescent="0.3">
      <c r="A33" s="1">
        <v>42</v>
      </c>
      <c r="B33" s="1">
        <v>3.05</v>
      </c>
      <c r="C33" s="5">
        <f t="shared" si="0"/>
        <v>1.5249999999999999</v>
      </c>
      <c r="D33" s="5">
        <f t="shared" si="1"/>
        <v>3.05</v>
      </c>
      <c r="E33" s="1">
        <v>9.23</v>
      </c>
      <c r="F33" s="1">
        <v>7.7</v>
      </c>
      <c r="G33" s="7">
        <v>3.14</v>
      </c>
      <c r="H33" s="1">
        <v>152</v>
      </c>
      <c r="I33" s="1">
        <v>1.9605999999999998E-2</v>
      </c>
      <c r="J33" s="1">
        <v>150</v>
      </c>
    </row>
    <row r="34" spans="1:11" x14ac:dyDescent="0.3">
      <c r="A34" s="1">
        <v>43</v>
      </c>
      <c r="B34" s="7">
        <v>1.83</v>
      </c>
      <c r="C34" s="5">
        <f t="shared" si="0"/>
        <v>0.91500000000000004</v>
      </c>
      <c r="D34" s="5">
        <f t="shared" si="1"/>
        <v>1.83</v>
      </c>
      <c r="E34" s="1">
        <v>3.13</v>
      </c>
      <c r="F34" s="1">
        <v>8</v>
      </c>
      <c r="G34" s="7">
        <v>3.14</v>
      </c>
      <c r="H34" s="1">
        <v>96</v>
      </c>
      <c r="I34" s="1">
        <v>4.045E-3</v>
      </c>
      <c r="J34" s="1">
        <v>90</v>
      </c>
    </row>
    <row r="35" spans="1:11" x14ac:dyDescent="0.3">
      <c r="A35" s="1">
        <v>44</v>
      </c>
      <c r="B35" s="1">
        <v>6</v>
      </c>
      <c r="C35" s="5">
        <f t="shared" si="0"/>
        <v>3</v>
      </c>
      <c r="D35" s="5">
        <f t="shared" si="1"/>
        <v>6</v>
      </c>
      <c r="E35" s="1">
        <v>7.0000000000000007E-2</v>
      </c>
      <c r="F35" s="1">
        <v>1</v>
      </c>
      <c r="G35" s="7">
        <v>3.17</v>
      </c>
      <c r="H35" s="1">
        <v>140</v>
      </c>
      <c r="I35" s="1">
        <v>7.9819999999999995E-3</v>
      </c>
      <c r="J35" s="1">
        <v>150</v>
      </c>
    </row>
    <row r="36" spans="1:11" x14ac:dyDescent="0.3">
      <c r="A36" s="1">
        <v>45</v>
      </c>
      <c r="B36" s="1">
        <v>6</v>
      </c>
      <c r="C36" s="5">
        <f t="shared" si="0"/>
        <v>3</v>
      </c>
      <c r="D36" s="5">
        <f t="shared" si="1"/>
        <v>6</v>
      </c>
      <c r="E36" s="1">
        <v>0.04</v>
      </c>
      <c r="F36" s="1">
        <v>1</v>
      </c>
      <c r="G36" s="1">
        <v>3.13</v>
      </c>
      <c r="H36" s="1">
        <v>90</v>
      </c>
      <c r="I36" s="1">
        <v>9.9229999999999995E-3</v>
      </c>
      <c r="J36" s="1">
        <v>84</v>
      </c>
    </row>
    <row r="37" spans="1:11" x14ac:dyDescent="0.3">
      <c r="A37" s="1">
        <v>46</v>
      </c>
      <c r="B37" s="1">
        <v>6</v>
      </c>
      <c r="C37" s="5">
        <f t="shared" si="0"/>
        <v>3</v>
      </c>
      <c r="D37" s="5">
        <f t="shared" si="1"/>
        <v>6</v>
      </c>
      <c r="E37" s="1">
        <v>1.3</v>
      </c>
      <c r="F37" s="1">
        <v>1</v>
      </c>
      <c r="G37" s="1">
        <v>3.17</v>
      </c>
      <c r="H37" s="1">
        <v>120</v>
      </c>
      <c r="I37" s="1">
        <v>0.12833700000000001</v>
      </c>
      <c r="J37" s="1">
        <v>113</v>
      </c>
      <c r="K37" s="4" t="s">
        <v>32</v>
      </c>
    </row>
    <row r="38" spans="1:11" x14ac:dyDescent="0.3">
      <c r="A38" s="1">
        <v>47</v>
      </c>
      <c r="B38" s="1">
        <v>6</v>
      </c>
      <c r="C38" s="5">
        <f t="shared" si="0"/>
        <v>3</v>
      </c>
      <c r="D38" s="5">
        <f t="shared" si="1"/>
        <v>6</v>
      </c>
      <c r="E38" s="1">
        <v>2.4</v>
      </c>
      <c r="F38" s="1">
        <v>2</v>
      </c>
      <c r="G38" s="1">
        <v>3.17</v>
      </c>
      <c r="H38" s="1">
        <v>90</v>
      </c>
      <c r="I38" s="1">
        <v>0.15939700000000001</v>
      </c>
      <c r="J38" s="1">
        <v>89</v>
      </c>
      <c r="K38" s="4" t="s">
        <v>32</v>
      </c>
    </row>
    <row r="39" spans="1:11" x14ac:dyDescent="0.3">
      <c r="A39" s="1">
        <v>48</v>
      </c>
      <c r="B39" s="1">
        <v>6</v>
      </c>
      <c r="C39" s="5">
        <f t="shared" si="0"/>
        <v>3</v>
      </c>
      <c r="D39" s="5">
        <f t="shared" si="1"/>
        <v>6</v>
      </c>
      <c r="E39" s="1">
        <v>1.4</v>
      </c>
      <c r="F39" s="1">
        <v>2</v>
      </c>
      <c r="G39" s="1">
        <v>3.17</v>
      </c>
      <c r="H39" s="1">
        <v>60</v>
      </c>
      <c r="I39" s="1">
        <v>0.12833700000000001</v>
      </c>
      <c r="J39" s="1">
        <v>65</v>
      </c>
      <c r="K39" s="4" t="s">
        <v>32</v>
      </c>
    </row>
    <row r="40" spans="1:11" x14ac:dyDescent="0.3">
      <c r="A40" s="1">
        <v>49</v>
      </c>
      <c r="B40" s="1">
        <v>6</v>
      </c>
      <c r="C40" s="5">
        <f t="shared" si="0"/>
        <v>3</v>
      </c>
      <c r="D40" s="5">
        <f t="shared" si="1"/>
        <v>6</v>
      </c>
      <c r="E40" s="1">
        <v>0.7</v>
      </c>
      <c r="F40" s="1">
        <v>2</v>
      </c>
      <c r="G40" s="1">
        <v>3.17</v>
      </c>
      <c r="H40" s="1">
        <v>90</v>
      </c>
      <c r="I40" s="1">
        <v>4.2923999999999997E-2</v>
      </c>
      <c r="J40" s="1">
        <v>88</v>
      </c>
    </row>
    <row r="41" spans="1:11" x14ac:dyDescent="0.3">
      <c r="A41" s="1">
        <v>52</v>
      </c>
      <c r="B41" s="1">
        <v>7.5</v>
      </c>
      <c r="C41" s="5">
        <f t="shared" si="0"/>
        <v>3.75</v>
      </c>
      <c r="D41" s="5">
        <f t="shared" si="1"/>
        <v>7.5</v>
      </c>
      <c r="E41" s="1">
        <v>0.31</v>
      </c>
      <c r="F41" s="1">
        <v>1</v>
      </c>
      <c r="G41" s="1">
        <v>3.14</v>
      </c>
      <c r="H41" s="1">
        <v>160</v>
      </c>
      <c r="I41" s="1">
        <v>2.9394E-2</v>
      </c>
      <c r="J41" s="1">
        <v>167</v>
      </c>
    </row>
    <row r="42" spans="1:11" x14ac:dyDescent="0.3">
      <c r="A42" s="1">
        <v>54</v>
      </c>
      <c r="B42" s="1">
        <v>5.5</v>
      </c>
      <c r="C42" s="5">
        <f t="shared" si="0"/>
        <v>2.75</v>
      </c>
      <c r="D42" s="5">
        <f t="shared" si="1"/>
        <v>5.5</v>
      </c>
      <c r="E42" s="1">
        <v>33</v>
      </c>
      <c r="F42" s="1">
        <v>7.5</v>
      </c>
      <c r="G42" s="1">
        <v>3.14</v>
      </c>
      <c r="H42" s="1">
        <v>250</v>
      </c>
      <c r="I42" s="1">
        <v>0.15939700000000001</v>
      </c>
      <c r="J42" s="1">
        <v>249</v>
      </c>
      <c r="K42" s="4" t="s">
        <v>32</v>
      </c>
    </row>
    <row r="43" spans="1:11" x14ac:dyDescent="0.3">
      <c r="A43" s="1">
        <v>57</v>
      </c>
      <c r="B43" s="1">
        <v>5</v>
      </c>
      <c r="C43" s="5">
        <f t="shared" si="0"/>
        <v>2.5</v>
      </c>
      <c r="D43" s="5">
        <f t="shared" si="1"/>
        <v>5</v>
      </c>
      <c r="E43" s="1">
        <v>0.01</v>
      </c>
      <c r="F43" s="1">
        <v>4</v>
      </c>
      <c r="G43" s="1">
        <v>3.08</v>
      </c>
      <c r="H43" s="1">
        <v>100</v>
      </c>
      <c r="I43" s="1">
        <v>4.5849999999999997E-3</v>
      </c>
      <c r="J43" s="1">
        <v>102</v>
      </c>
    </row>
    <row r="44" spans="1:11" x14ac:dyDescent="0.3">
      <c r="A44" s="1">
        <v>61</v>
      </c>
      <c r="B44" s="1">
        <v>1.5</v>
      </c>
      <c r="C44" s="5">
        <f t="shared" si="0"/>
        <v>0.75</v>
      </c>
      <c r="D44" s="5">
        <f t="shared" si="1"/>
        <v>1.5</v>
      </c>
      <c r="E44" s="1">
        <v>8.9</v>
      </c>
      <c r="F44" s="1">
        <v>0.99</v>
      </c>
      <c r="G44" s="1">
        <v>3.14</v>
      </c>
      <c r="H44" s="1">
        <v>250</v>
      </c>
      <c r="I44" s="1">
        <v>2.5440999999999998E-2</v>
      </c>
      <c r="J44" s="1">
        <v>260</v>
      </c>
    </row>
    <row r="45" spans="1:11" x14ac:dyDescent="0.3">
      <c r="C45" s="6"/>
      <c r="D4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6"/>
  <sheetViews>
    <sheetView topLeftCell="A43" workbookViewId="0">
      <selection activeCell="A49" sqref="A49:XFD65"/>
    </sheetView>
  </sheetViews>
  <sheetFormatPr defaultRowHeight="14.4" x14ac:dyDescent="0.3"/>
  <cols>
    <col min="4" max="4" width="16.5546875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  <c r="K1" s="3"/>
    </row>
    <row r="2" spans="1:11" x14ac:dyDescent="0.3">
      <c r="A2" s="1">
        <v>1</v>
      </c>
      <c r="B2" s="1">
        <v>4.5720000000000001</v>
      </c>
      <c r="C2" s="5">
        <f t="shared" ref="C2:C46" si="0">0.6*B2</f>
        <v>2.7431999999999999</v>
      </c>
      <c r="D2" s="5">
        <f t="shared" ref="D2:D46" si="1">2*C2</f>
        <v>5.4863999999999997</v>
      </c>
      <c r="E2" s="1">
        <v>3.55</v>
      </c>
      <c r="F2" s="1">
        <v>6.9</v>
      </c>
      <c r="G2" s="1">
        <v>3.14</v>
      </c>
      <c r="H2" s="1">
        <v>274.32</v>
      </c>
      <c r="I2" s="1">
        <v>1.3806000000000001E-2</v>
      </c>
      <c r="J2" s="1">
        <v>283</v>
      </c>
      <c r="K2" s="4"/>
    </row>
    <row r="3" spans="1:11" x14ac:dyDescent="0.3">
      <c r="A3" s="1">
        <v>2</v>
      </c>
      <c r="B3" s="1">
        <v>1.524</v>
      </c>
      <c r="C3" s="5">
        <f t="shared" si="0"/>
        <v>0.91439999999999999</v>
      </c>
      <c r="D3" s="5">
        <f t="shared" si="1"/>
        <v>1.8288</v>
      </c>
      <c r="E3" s="1">
        <v>28</v>
      </c>
      <c r="F3" s="1">
        <v>7.1</v>
      </c>
      <c r="G3" s="1">
        <v>3.14</v>
      </c>
      <c r="H3" s="1">
        <v>228.6</v>
      </c>
      <c r="I3" s="1">
        <v>1.5716000000000001E-2</v>
      </c>
      <c r="J3" s="1">
        <v>233</v>
      </c>
      <c r="K3" s="4"/>
    </row>
    <row r="4" spans="1:11" x14ac:dyDescent="0.3">
      <c r="A4" s="1">
        <v>3</v>
      </c>
      <c r="B4" s="1">
        <v>3.048</v>
      </c>
      <c r="C4" s="5">
        <f t="shared" si="0"/>
        <v>1.8288</v>
      </c>
      <c r="D4" s="5">
        <f t="shared" si="1"/>
        <v>3.6576</v>
      </c>
      <c r="E4" s="1">
        <v>0.45</v>
      </c>
      <c r="F4" s="1">
        <v>0.8</v>
      </c>
      <c r="G4" s="1">
        <v>3.14</v>
      </c>
      <c r="H4" s="1">
        <v>914.4</v>
      </c>
      <c r="I4" s="1">
        <v>2.0999999999999999E-3</v>
      </c>
      <c r="J4" s="1">
        <v>905</v>
      </c>
      <c r="K4" s="4"/>
    </row>
    <row r="5" spans="1:11" x14ac:dyDescent="0.3">
      <c r="A5" s="1">
        <v>4</v>
      </c>
      <c r="B5" s="1">
        <v>3.048</v>
      </c>
      <c r="C5" s="5">
        <f t="shared" si="0"/>
        <v>1.8288</v>
      </c>
      <c r="D5" s="5">
        <f t="shared" si="1"/>
        <v>3.6576</v>
      </c>
      <c r="E5" s="1">
        <v>43.28</v>
      </c>
      <c r="F5" s="1">
        <v>12.6</v>
      </c>
      <c r="G5" s="1">
        <v>3.14</v>
      </c>
      <c r="H5" s="1">
        <v>213.36</v>
      </c>
      <c r="I5" s="1">
        <v>6.4343999999999998E-2</v>
      </c>
      <c r="J5" s="1">
        <v>211</v>
      </c>
      <c r="K5" s="4"/>
    </row>
    <row r="6" spans="1:11" x14ac:dyDescent="0.3">
      <c r="A6" s="1">
        <v>6</v>
      </c>
      <c r="B6" s="1">
        <v>3.81</v>
      </c>
      <c r="C6" s="5">
        <f t="shared" si="0"/>
        <v>2.286</v>
      </c>
      <c r="D6" s="5">
        <f t="shared" si="1"/>
        <v>4.5720000000000001</v>
      </c>
      <c r="E6" s="1">
        <v>4.03</v>
      </c>
      <c r="F6" s="1">
        <v>3.8</v>
      </c>
      <c r="G6" s="1">
        <v>3.14</v>
      </c>
      <c r="H6" s="1">
        <v>91.44</v>
      </c>
      <c r="I6" s="1">
        <v>6.6217999999999999E-2</v>
      </c>
      <c r="J6" s="1">
        <v>99</v>
      </c>
      <c r="K6" s="4"/>
    </row>
    <row r="7" spans="1:11" x14ac:dyDescent="0.3">
      <c r="A7" s="1">
        <v>7</v>
      </c>
      <c r="B7" s="1">
        <v>2.286</v>
      </c>
      <c r="C7" s="5">
        <f t="shared" si="0"/>
        <v>1.3715999999999999</v>
      </c>
      <c r="D7" s="5">
        <f t="shared" si="1"/>
        <v>2.7431999999999999</v>
      </c>
      <c r="E7" s="1">
        <v>14.1</v>
      </c>
      <c r="F7" s="1">
        <v>3.7</v>
      </c>
      <c r="G7" s="1">
        <v>3.14</v>
      </c>
      <c r="H7" s="1">
        <v>146.304</v>
      </c>
      <c r="I7" s="1">
        <v>6.4343999999999998E-2</v>
      </c>
      <c r="J7" s="1">
        <v>146</v>
      </c>
    </row>
    <row r="8" spans="1:11" x14ac:dyDescent="0.3">
      <c r="A8" s="1">
        <v>8</v>
      </c>
      <c r="B8" s="1">
        <v>1.524</v>
      </c>
      <c r="C8" s="5">
        <f t="shared" si="0"/>
        <v>0.91439999999999999</v>
      </c>
      <c r="D8" s="5">
        <f t="shared" si="1"/>
        <v>1.8288</v>
      </c>
      <c r="E8" s="1">
        <v>29.64</v>
      </c>
      <c r="F8" s="1">
        <v>2.4</v>
      </c>
      <c r="G8" s="1">
        <v>3.14</v>
      </c>
      <c r="H8" s="1">
        <v>76.2</v>
      </c>
      <c r="I8" s="1">
        <v>0.50004999999999999</v>
      </c>
      <c r="J8" s="1">
        <v>77</v>
      </c>
      <c r="K8" s="4" t="s">
        <v>24</v>
      </c>
    </row>
    <row r="9" spans="1:11" x14ac:dyDescent="0.3">
      <c r="A9" s="1">
        <v>9</v>
      </c>
      <c r="B9" s="1">
        <v>3.81</v>
      </c>
      <c r="C9" s="5">
        <f t="shared" si="0"/>
        <v>2.286</v>
      </c>
      <c r="D9" s="5">
        <f t="shared" si="1"/>
        <v>4.5720000000000001</v>
      </c>
      <c r="E9" s="1">
        <v>0.68</v>
      </c>
      <c r="F9" s="1">
        <v>2.1</v>
      </c>
      <c r="G9" s="1">
        <v>3.14</v>
      </c>
      <c r="H9" s="1">
        <v>106.68</v>
      </c>
      <c r="I9" s="1">
        <v>1.9629000000000001E-2</v>
      </c>
      <c r="J9" s="1">
        <v>100</v>
      </c>
    </row>
    <row r="10" spans="1:11" x14ac:dyDescent="0.3">
      <c r="A10" s="1">
        <v>10</v>
      </c>
      <c r="B10" s="1">
        <v>5.3339999999999996</v>
      </c>
      <c r="C10" s="5">
        <f t="shared" si="0"/>
        <v>3.2003999999999997</v>
      </c>
      <c r="D10" s="5">
        <f t="shared" si="1"/>
        <v>6.4007999999999994</v>
      </c>
      <c r="E10" s="1">
        <v>18.27</v>
      </c>
      <c r="F10" s="1">
        <v>1.9</v>
      </c>
      <c r="G10" s="1">
        <v>3.14</v>
      </c>
      <c r="H10" s="1">
        <v>350.52</v>
      </c>
      <c r="I10" s="1">
        <v>0.28794599999999998</v>
      </c>
      <c r="J10" s="1">
        <v>342</v>
      </c>
      <c r="K10" s="4" t="s">
        <v>24</v>
      </c>
    </row>
    <row r="11" spans="1:11" x14ac:dyDescent="0.3">
      <c r="A11" s="1">
        <v>11</v>
      </c>
      <c r="B11" s="1">
        <v>3.2004000000000001</v>
      </c>
      <c r="C11" s="5">
        <f t="shared" si="0"/>
        <v>1.9202399999999999</v>
      </c>
      <c r="D11" s="5">
        <f t="shared" si="1"/>
        <v>3.8404799999999999</v>
      </c>
      <c r="E11" s="1">
        <v>1.806</v>
      </c>
      <c r="F11" s="1">
        <v>5</v>
      </c>
      <c r="G11" s="1">
        <v>3.14</v>
      </c>
      <c r="H11" s="1">
        <v>182.88</v>
      </c>
      <c r="I11" s="1">
        <v>7.9349999999999993E-3</v>
      </c>
      <c r="J11" s="1">
        <v>180</v>
      </c>
      <c r="K11" s="4"/>
    </row>
    <row r="12" spans="1:11" x14ac:dyDescent="0.3">
      <c r="A12" s="1">
        <v>13</v>
      </c>
      <c r="B12" s="1">
        <v>1.524</v>
      </c>
      <c r="C12" s="5">
        <f t="shared" si="0"/>
        <v>0.91439999999999999</v>
      </c>
      <c r="D12" s="5">
        <f t="shared" si="1"/>
        <v>1.8288</v>
      </c>
      <c r="E12" s="1">
        <v>12.84</v>
      </c>
      <c r="F12" s="1">
        <v>6.5</v>
      </c>
      <c r="G12" s="1">
        <v>3.14</v>
      </c>
      <c r="H12" s="1">
        <v>109.72799999999999</v>
      </c>
      <c r="I12" s="1">
        <v>1.7661E-2</v>
      </c>
      <c r="J12" s="1">
        <v>109</v>
      </c>
      <c r="K12" s="4"/>
    </row>
    <row r="13" spans="1:11" x14ac:dyDescent="0.3">
      <c r="A13" s="1">
        <v>14</v>
      </c>
      <c r="B13" s="1">
        <v>3.81</v>
      </c>
      <c r="C13" s="5">
        <f t="shared" si="0"/>
        <v>2.286</v>
      </c>
      <c r="D13" s="5">
        <f t="shared" si="1"/>
        <v>4.5720000000000001</v>
      </c>
      <c r="E13" s="1">
        <v>8.18</v>
      </c>
      <c r="F13" s="1">
        <v>8.6</v>
      </c>
      <c r="G13" s="1">
        <v>3.14</v>
      </c>
      <c r="H13" s="1">
        <v>219.45599999999999</v>
      </c>
      <c r="I13" s="1">
        <v>2.3512000000000002E-2</v>
      </c>
      <c r="J13" s="1">
        <v>215</v>
      </c>
      <c r="K13" s="4"/>
    </row>
    <row r="14" spans="1:11" x14ac:dyDescent="0.3">
      <c r="A14" s="1">
        <v>15</v>
      </c>
      <c r="B14" s="1">
        <v>1.524</v>
      </c>
      <c r="C14" s="5">
        <f t="shared" si="0"/>
        <v>0.91439999999999999</v>
      </c>
      <c r="D14" s="5">
        <f t="shared" si="1"/>
        <v>1.8288</v>
      </c>
      <c r="E14" s="1">
        <v>13.8</v>
      </c>
      <c r="F14" s="1">
        <v>9</v>
      </c>
      <c r="G14" s="1">
        <v>3.14</v>
      </c>
      <c r="H14" s="1">
        <v>96.012</v>
      </c>
      <c r="I14" s="1">
        <v>1.3771E-2</v>
      </c>
      <c r="J14" s="1">
        <v>105</v>
      </c>
      <c r="K14" s="4"/>
    </row>
    <row r="15" spans="1:11" x14ac:dyDescent="0.3">
      <c r="A15" s="1">
        <v>16</v>
      </c>
      <c r="B15" s="1">
        <v>3.048</v>
      </c>
      <c r="C15" s="5">
        <f t="shared" si="0"/>
        <v>1.8288</v>
      </c>
      <c r="D15" s="5">
        <f t="shared" si="1"/>
        <v>3.6576</v>
      </c>
      <c r="E15" s="1">
        <v>13.118</v>
      </c>
      <c r="F15" s="1">
        <v>9.3000000000000007</v>
      </c>
      <c r="G15" s="1">
        <v>3.14</v>
      </c>
      <c r="H15" s="1">
        <v>53.34</v>
      </c>
      <c r="I15" s="1">
        <v>0.12658700000000001</v>
      </c>
      <c r="J15" s="1">
        <v>55</v>
      </c>
      <c r="K15" s="4" t="s">
        <v>24</v>
      </c>
    </row>
    <row r="16" spans="1:11" x14ac:dyDescent="0.3">
      <c r="A16" s="1">
        <v>17</v>
      </c>
      <c r="B16" s="1">
        <v>2.286</v>
      </c>
      <c r="C16" s="5">
        <f t="shared" si="0"/>
        <v>1.3715999999999999</v>
      </c>
      <c r="D16" s="5">
        <f t="shared" si="1"/>
        <v>2.7431999999999999</v>
      </c>
      <c r="E16" s="1">
        <v>84.9</v>
      </c>
      <c r="F16" s="1">
        <v>8.1999999999999993</v>
      </c>
      <c r="G16" s="1">
        <v>3.14</v>
      </c>
      <c r="H16" s="1">
        <v>128.01599999999999</v>
      </c>
      <c r="I16" s="1">
        <v>0.37556200000000001</v>
      </c>
      <c r="J16" s="1">
        <v>119</v>
      </c>
      <c r="K16" s="4" t="s">
        <v>24</v>
      </c>
    </row>
    <row r="17" spans="1:11" x14ac:dyDescent="0.3">
      <c r="A17" s="1">
        <v>18</v>
      </c>
      <c r="B17" s="1">
        <v>3.81</v>
      </c>
      <c r="C17" s="5">
        <f t="shared" si="0"/>
        <v>2.286</v>
      </c>
      <c r="D17" s="5">
        <f t="shared" si="1"/>
        <v>4.5720000000000001</v>
      </c>
      <c r="E17" s="1">
        <v>22.9</v>
      </c>
      <c r="F17" s="1">
        <v>8.3000000000000007</v>
      </c>
      <c r="G17" s="1">
        <v>3.14</v>
      </c>
      <c r="H17" s="9">
        <v>914.4</v>
      </c>
      <c r="I17" s="1">
        <v>1.4291E-2</v>
      </c>
      <c r="J17" s="1">
        <v>921</v>
      </c>
    </row>
    <row r="18" spans="1:11" x14ac:dyDescent="0.3">
      <c r="A18" s="1">
        <v>19</v>
      </c>
      <c r="B18" s="1">
        <v>4.5720000000000001</v>
      </c>
      <c r="C18" s="5">
        <f t="shared" si="0"/>
        <v>2.7431999999999999</v>
      </c>
      <c r="D18" s="5">
        <f t="shared" si="1"/>
        <v>5.4863999999999997</v>
      </c>
      <c r="E18" s="1">
        <v>49.3</v>
      </c>
      <c r="F18" s="1">
        <v>7.5</v>
      </c>
      <c r="G18" s="1">
        <v>3.14</v>
      </c>
      <c r="H18" s="8">
        <v>192024</v>
      </c>
      <c r="I18" s="1">
        <v>0.34575299999999998</v>
      </c>
      <c r="J18" s="1">
        <v>189</v>
      </c>
      <c r="K18" s="4" t="s">
        <v>24</v>
      </c>
    </row>
    <row r="19" spans="1:11" x14ac:dyDescent="0.3">
      <c r="A19" s="1">
        <v>20</v>
      </c>
      <c r="B19" s="1">
        <v>1.524</v>
      </c>
      <c r="C19" s="5">
        <f t="shared" si="0"/>
        <v>0.91439999999999999</v>
      </c>
      <c r="D19" s="5">
        <f t="shared" si="1"/>
        <v>1.8288</v>
      </c>
      <c r="E19" s="1">
        <v>90.21</v>
      </c>
      <c r="F19" s="1">
        <v>6.8</v>
      </c>
      <c r="G19" s="1">
        <v>3.14</v>
      </c>
      <c r="H19" s="1">
        <v>60.96</v>
      </c>
      <c r="I19" s="1">
        <v>0.998</v>
      </c>
      <c r="J19" s="1">
        <v>57</v>
      </c>
      <c r="K19" s="4" t="s">
        <v>24</v>
      </c>
    </row>
    <row r="20" spans="1:11" x14ac:dyDescent="0.3">
      <c r="A20" s="1">
        <v>21</v>
      </c>
      <c r="B20" s="1">
        <v>2.286</v>
      </c>
      <c r="C20" s="5">
        <f t="shared" si="0"/>
        <v>1.3715999999999999</v>
      </c>
      <c r="D20" s="5">
        <f t="shared" si="1"/>
        <v>2.7431999999999999</v>
      </c>
      <c r="E20" s="1">
        <v>0.46899999999999997</v>
      </c>
      <c r="F20" s="1">
        <v>11.2</v>
      </c>
      <c r="G20" s="1">
        <v>3.14</v>
      </c>
      <c r="H20" s="1">
        <v>60.96</v>
      </c>
      <c r="I20" s="1">
        <v>3.0720000000000001E-3</v>
      </c>
      <c r="J20" s="1">
        <v>55</v>
      </c>
      <c r="K20" s="4"/>
    </row>
    <row r="21" spans="1:11" x14ac:dyDescent="0.3">
      <c r="A21" s="1">
        <v>22</v>
      </c>
      <c r="B21" s="1">
        <v>2.286</v>
      </c>
      <c r="C21" s="5">
        <f t="shared" si="0"/>
        <v>1.3715999999999999</v>
      </c>
      <c r="D21" s="5">
        <f t="shared" si="1"/>
        <v>2.7431999999999999</v>
      </c>
      <c r="E21" s="1">
        <v>20.95</v>
      </c>
      <c r="F21" s="1">
        <v>8.52</v>
      </c>
      <c r="G21" s="1">
        <v>3.14</v>
      </c>
      <c r="H21" s="1">
        <v>106.68</v>
      </c>
      <c r="I21" s="1">
        <v>5.6563000000000002E-2</v>
      </c>
      <c r="J21" s="1">
        <v>105</v>
      </c>
      <c r="K21" s="4"/>
    </row>
    <row r="22" spans="1:11" x14ac:dyDescent="0.3">
      <c r="A22" s="1">
        <v>23</v>
      </c>
      <c r="B22" s="1">
        <v>11</v>
      </c>
      <c r="C22" s="5">
        <f t="shared" si="0"/>
        <v>6.6</v>
      </c>
      <c r="D22" s="5">
        <f t="shared" si="1"/>
        <v>13.2</v>
      </c>
      <c r="E22" s="1">
        <v>4.2460000000000004</v>
      </c>
      <c r="F22" s="1">
        <v>7.9</v>
      </c>
      <c r="G22" s="1">
        <v>3.14</v>
      </c>
      <c r="H22" s="1">
        <v>420</v>
      </c>
      <c r="I22" s="1">
        <v>5.6406999999999999E-2</v>
      </c>
      <c r="J22" s="1">
        <v>423</v>
      </c>
      <c r="K22" s="4"/>
    </row>
    <row r="23" spans="1:11" x14ac:dyDescent="0.3">
      <c r="A23" s="1">
        <v>24</v>
      </c>
      <c r="B23" s="1">
        <v>3.048</v>
      </c>
      <c r="C23" s="5">
        <f t="shared" si="0"/>
        <v>1.8288</v>
      </c>
      <c r="D23" s="5">
        <f t="shared" si="1"/>
        <v>3.6576</v>
      </c>
      <c r="E23" s="1">
        <v>67</v>
      </c>
      <c r="F23" s="1">
        <v>3.7</v>
      </c>
      <c r="G23" s="1">
        <v>3.14</v>
      </c>
      <c r="H23" s="1">
        <v>207.26400000000001</v>
      </c>
      <c r="I23" s="1">
        <v>0.50004999999999999</v>
      </c>
      <c r="J23" s="1">
        <v>202</v>
      </c>
      <c r="K23" s="4" t="s">
        <v>32</v>
      </c>
    </row>
    <row r="24" spans="1:11" x14ac:dyDescent="0.3">
      <c r="A24" s="1">
        <v>26</v>
      </c>
      <c r="B24" s="1">
        <v>4.2671999999999999</v>
      </c>
      <c r="C24" s="5">
        <f t="shared" si="0"/>
        <v>2.5603199999999999</v>
      </c>
      <c r="D24" s="5">
        <f t="shared" si="1"/>
        <v>5.1206399999999999</v>
      </c>
      <c r="E24" s="1">
        <v>25.4</v>
      </c>
      <c r="F24" s="1">
        <v>5.5</v>
      </c>
      <c r="G24" s="1">
        <v>3.14</v>
      </c>
      <c r="H24" s="1">
        <v>71.3232</v>
      </c>
      <c r="I24" s="10">
        <v>0.998</v>
      </c>
      <c r="J24" s="1">
        <v>67</v>
      </c>
      <c r="K24" s="4" t="s">
        <v>24</v>
      </c>
    </row>
    <row r="25" spans="1:11" x14ac:dyDescent="0.3">
      <c r="A25" s="1">
        <v>27</v>
      </c>
      <c r="B25" s="1">
        <v>2.1335999999999999</v>
      </c>
      <c r="C25" s="5">
        <f t="shared" si="0"/>
        <v>1.28016</v>
      </c>
      <c r="D25" s="5">
        <f t="shared" si="1"/>
        <v>2.5603199999999999</v>
      </c>
      <c r="E25" s="1">
        <v>1.504</v>
      </c>
      <c r="F25" s="1">
        <v>2.4</v>
      </c>
      <c r="G25" s="1">
        <v>3.14</v>
      </c>
      <c r="H25" s="1">
        <v>396.24</v>
      </c>
      <c r="I25" s="1">
        <v>2.4650000000000002E-3</v>
      </c>
      <c r="J25" s="1">
        <v>397</v>
      </c>
      <c r="K25" s="4"/>
    </row>
    <row r="26" spans="1:11" x14ac:dyDescent="0.3">
      <c r="A26" s="1">
        <v>30</v>
      </c>
      <c r="B26" s="1">
        <v>1.5249999999999999</v>
      </c>
      <c r="C26" s="5">
        <f t="shared" si="0"/>
        <v>0.91499999999999992</v>
      </c>
      <c r="D26" s="5">
        <f t="shared" si="1"/>
        <v>1.8299999999999998</v>
      </c>
      <c r="E26" s="1">
        <v>5.22</v>
      </c>
      <c r="F26" s="1">
        <v>5.7</v>
      </c>
      <c r="G26" s="1">
        <v>3.14</v>
      </c>
      <c r="H26" s="1">
        <v>152</v>
      </c>
      <c r="I26" s="1">
        <v>5.0169999999999998E-3</v>
      </c>
      <c r="J26" s="1">
        <v>156</v>
      </c>
      <c r="K26" s="4"/>
    </row>
    <row r="27" spans="1:11" x14ac:dyDescent="0.3">
      <c r="A27" s="1">
        <v>31</v>
      </c>
      <c r="B27" s="1">
        <v>4.57</v>
      </c>
      <c r="C27" s="5">
        <f t="shared" si="0"/>
        <v>2.742</v>
      </c>
      <c r="D27" s="5">
        <f t="shared" si="1"/>
        <v>5.484</v>
      </c>
      <c r="E27" s="1">
        <v>9.23</v>
      </c>
      <c r="F27" s="1">
        <v>2.8</v>
      </c>
      <c r="G27" s="1">
        <v>3.14</v>
      </c>
      <c r="H27" s="1">
        <v>366</v>
      </c>
      <c r="I27" s="1">
        <v>7.3982999999999993E-2</v>
      </c>
      <c r="J27" s="1">
        <v>360</v>
      </c>
    </row>
    <row r="28" spans="1:11" x14ac:dyDescent="0.3">
      <c r="A28" s="1">
        <v>32</v>
      </c>
      <c r="B28" s="1">
        <v>3.05</v>
      </c>
      <c r="C28" s="5">
        <f t="shared" si="0"/>
        <v>1.8299999999999998</v>
      </c>
      <c r="D28" s="5">
        <f t="shared" si="1"/>
        <v>3.6599999999999997</v>
      </c>
      <c r="E28" s="1">
        <v>2.84</v>
      </c>
      <c r="F28" s="1">
        <v>0.6</v>
      </c>
      <c r="G28" s="1">
        <v>3.14</v>
      </c>
      <c r="H28" s="1">
        <v>168</v>
      </c>
      <c r="I28" s="1">
        <v>0.12658700000000001</v>
      </c>
      <c r="J28" s="1">
        <v>174</v>
      </c>
      <c r="K28" s="4" t="s">
        <v>24</v>
      </c>
    </row>
    <row r="29" spans="1:11" x14ac:dyDescent="0.3">
      <c r="A29" s="1">
        <v>35</v>
      </c>
      <c r="B29" s="1">
        <v>5.335</v>
      </c>
      <c r="C29" s="5">
        <f t="shared" si="0"/>
        <v>3.2010000000000001</v>
      </c>
      <c r="D29" s="5">
        <f t="shared" si="1"/>
        <v>6.4020000000000001</v>
      </c>
      <c r="E29" s="1">
        <v>18.27</v>
      </c>
      <c r="F29" s="1">
        <v>1.9</v>
      </c>
      <c r="G29" s="1">
        <v>3.14</v>
      </c>
      <c r="H29" s="1">
        <v>229</v>
      </c>
      <c r="I29" s="1">
        <v>0.50405</v>
      </c>
      <c r="J29" s="1">
        <v>225</v>
      </c>
      <c r="K29" s="4" t="s">
        <v>24</v>
      </c>
    </row>
    <row r="30" spans="1:11" x14ac:dyDescent="0.3">
      <c r="A30" s="1">
        <v>37</v>
      </c>
      <c r="B30" s="1">
        <v>7.62</v>
      </c>
      <c r="C30" s="5">
        <f t="shared" si="0"/>
        <v>4.5720000000000001</v>
      </c>
      <c r="D30" s="5">
        <f t="shared" si="1"/>
        <v>9.1440000000000001</v>
      </c>
      <c r="E30" s="1">
        <v>6.01</v>
      </c>
      <c r="F30" s="1">
        <v>10</v>
      </c>
      <c r="G30" s="1">
        <v>3.14</v>
      </c>
      <c r="H30" s="1">
        <v>853</v>
      </c>
      <c r="I30" s="1">
        <v>1.6611000000000001E-2</v>
      </c>
      <c r="J30" s="1">
        <v>852</v>
      </c>
      <c r="K30" s="4"/>
    </row>
    <row r="31" spans="1:11" x14ac:dyDescent="0.3">
      <c r="A31" s="1">
        <v>38</v>
      </c>
      <c r="B31" s="1">
        <v>1.22</v>
      </c>
      <c r="C31" s="5">
        <f t="shared" si="0"/>
        <v>0.73199999999999998</v>
      </c>
      <c r="D31" s="5">
        <f t="shared" si="1"/>
        <v>1.464</v>
      </c>
      <c r="E31" s="1">
        <v>0.96</v>
      </c>
      <c r="F31" s="1">
        <v>3.9</v>
      </c>
      <c r="G31" s="1">
        <v>3.14</v>
      </c>
      <c r="H31" s="1">
        <v>30</v>
      </c>
      <c r="I31" s="1">
        <v>5.9899999999999997E-3</v>
      </c>
      <c r="J31" s="1">
        <v>29</v>
      </c>
    </row>
    <row r="32" spans="1:11" x14ac:dyDescent="0.3">
      <c r="A32" s="1">
        <v>39</v>
      </c>
      <c r="B32" s="1">
        <v>1.22</v>
      </c>
      <c r="C32" s="5">
        <f t="shared" si="0"/>
        <v>0.73199999999999998</v>
      </c>
      <c r="D32" s="5">
        <f t="shared" si="1"/>
        <v>1.464</v>
      </c>
      <c r="E32" s="1">
        <v>13.8</v>
      </c>
      <c r="F32" s="1">
        <v>7.6</v>
      </c>
      <c r="G32" s="1">
        <v>3.14</v>
      </c>
      <c r="H32" s="1">
        <v>64</v>
      </c>
      <c r="I32" s="1">
        <v>1.7661E-2</v>
      </c>
      <c r="J32" s="1">
        <v>69</v>
      </c>
      <c r="K32" s="4"/>
    </row>
    <row r="33" spans="1:11" x14ac:dyDescent="0.3">
      <c r="A33" s="1">
        <v>40</v>
      </c>
      <c r="B33" s="1">
        <v>8.3800000000000008</v>
      </c>
      <c r="C33" s="5">
        <f t="shared" si="0"/>
        <v>5.0280000000000005</v>
      </c>
      <c r="D33" s="5">
        <f t="shared" si="1"/>
        <v>10.056000000000001</v>
      </c>
      <c r="E33" s="1">
        <v>32.56</v>
      </c>
      <c r="F33" s="1">
        <v>9.82</v>
      </c>
      <c r="G33" s="7">
        <v>3.14</v>
      </c>
      <c r="H33" s="1">
        <v>244</v>
      </c>
      <c r="I33" s="1">
        <v>0.32294299999999998</v>
      </c>
      <c r="J33" s="1">
        <v>245</v>
      </c>
      <c r="K33" s="4" t="s">
        <v>32</v>
      </c>
    </row>
    <row r="34" spans="1:11" x14ac:dyDescent="0.3">
      <c r="A34" s="1">
        <v>41</v>
      </c>
      <c r="B34" s="7">
        <v>4.57</v>
      </c>
      <c r="C34" s="5">
        <f t="shared" si="0"/>
        <v>2.742</v>
      </c>
      <c r="D34" s="5">
        <f t="shared" si="1"/>
        <v>5.484</v>
      </c>
      <c r="E34" s="1">
        <v>15.6</v>
      </c>
      <c r="F34" s="1">
        <v>10.43</v>
      </c>
      <c r="G34" s="7">
        <v>3.14</v>
      </c>
      <c r="H34" s="1">
        <v>549</v>
      </c>
      <c r="I34" s="1">
        <v>1.9629000000000001E-2</v>
      </c>
      <c r="J34" s="1">
        <v>539</v>
      </c>
      <c r="K34" s="4"/>
    </row>
    <row r="35" spans="1:11" x14ac:dyDescent="0.3">
      <c r="A35" s="1">
        <v>42</v>
      </c>
      <c r="B35" s="1">
        <v>3.05</v>
      </c>
      <c r="C35" s="5">
        <f t="shared" si="0"/>
        <v>1.8299999999999998</v>
      </c>
      <c r="D35" s="5">
        <f t="shared" si="1"/>
        <v>3.6599999999999997</v>
      </c>
      <c r="E35" s="1">
        <v>9.23</v>
      </c>
      <c r="F35" s="1">
        <v>7.7</v>
      </c>
      <c r="G35" s="1">
        <v>3.14</v>
      </c>
      <c r="H35" s="1">
        <v>152</v>
      </c>
      <c r="I35" s="1">
        <v>2.9330999999999999E-2</v>
      </c>
      <c r="J35" s="1">
        <v>147</v>
      </c>
      <c r="K35" s="4"/>
    </row>
    <row r="36" spans="1:11" x14ac:dyDescent="0.3">
      <c r="A36" s="1">
        <v>43</v>
      </c>
      <c r="B36" s="1">
        <v>1.83</v>
      </c>
      <c r="C36" s="5">
        <f t="shared" si="0"/>
        <v>1.0980000000000001</v>
      </c>
      <c r="D36" s="5">
        <f t="shared" si="1"/>
        <v>2.1960000000000002</v>
      </c>
      <c r="E36" s="1">
        <v>3.13</v>
      </c>
      <c r="F36" s="1">
        <v>8</v>
      </c>
      <c r="G36" s="1">
        <v>3.14</v>
      </c>
      <c r="H36" s="1">
        <v>96</v>
      </c>
      <c r="I36" s="1">
        <v>5.9899999999999997E-3</v>
      </c>
      <c r="J36" s="1">
        <v>86</v>
      </c>
      <c r="K36" s="4"/>
    </row>
    <row r="37" spans="1:11" x14ac:dyDescent="0.3">
      <c r="A37" s="1">
        <v>44</v>
      </c>
      <c r="B37" s="1">
        <v>6</v>
      </c>
      <c r="C37" s="5">
        <f t="shared" si="0"/>
        <v>3.5999999999999996</v>
      </c>
      <c r="D37" s="5">
        <f t="shared" si="1"/>
        <v>7.1999999999999993</v>
      </c>
      <c r="E37" s="1">
        <v>7.0000000000000007E-2</v>
      </c>
      <c r="F37" s="1">
        <v>1</v>
      </c>
      <c r="G37" s="1">
        <v>3.17</v>
      </c>
      <c r="H37" s="1">
        <v>140</v>
      </c>
      <c r="I37" s="1">
        <v>1.2028E-2</v>
      </c>
      <c r="J37" s="1">
        <v>145</v>
      </c>
    </row>
    <row r="38" spans="1:11" x14ac:dyDescent="0.3">
      <c r="A38" s="1">
        <v>45</v>
      </c>
      <c r="B38" s="1">
        <v>6</v>
      </c>
      <c r="C38" s="5">
        <f t="shared" si="0"/>
        <v>3.5999999999999996</v>
      </c>
      <c r="D38" s="5">
        <f t="shared" si="1"/>
        <v>7.1999999999999993</v>
      </c>
      <c r="E38" s="1">
        <v>0.04</v>
      </c>
      <c r="F38" s="1">
        <v>1</v>
      </c>
      <c r="G38" s="1">
        <v>3.13</v>
      </c>
      <c r="H38" s="1">
        <v>90</v>
      </c>
      <c r="I38" s="1">
        <v>1.3958E-2</v>
      </c>
      <c r="J38" s="1">
        <v>89</v>
      </c>
    </row>
    <row r="39" spans="1:11" x14ac:dyDescent="0.3">
      <c r="A39" s="1">
        <v>46</v>
      </c>
      <c r="B39" s="1">
        <v>6</v>
      </c>
      <c r="C39" s="5">
        <f t="shared" si="0"/>
        <v>3.5999999999999996</v>
      </c>
      <c r="D39" s="5">
        <f t="shared" si="1"/>
        <v>7.1999999999999993</v>
      </c>
      <c r="E39" s="1">
        <v>1.3</v>
      </c>
      <c r="F39" s="1">
        <v>1</v>
      </c>
      <c r="G39" s="1">
        <v>3.17</v>
      </c>
      <c r="H39" s="1">
        <v>120</v>
      </c>
      <c r="I39" s="1">
        <v>0.19533</v>
      </c>
      <c r="J39" s="1">
        <v>111</v>
      </c>
      <c r="K39" s="4" t="s">
        <v>32</v>
      </c>
    </row>
    <row r="40" spans="1:11" x14ac:dyDescent="0.3">
      <c r="A40" s="1">
        <v>47</v>
      </c>
      <c r="B40" s="1">
        <v>6</v>
      </c>
      <c r="C40" s="5">
        <f t="shared" si="0"/>
        <v>3.5999999999999996</v>
      </c>
      <c r="D40" s="5">
        <f t="shared" si="1"/>
        <v>7.1999999999999993</v>
      </c>
      <c r="E40" s="1">
        <v>2.4</v>
      </c>
      <c r="F40" s="1">
        <v>2</v>
      </c>
      <c r="G40" s="1">
        <v>3.17</v>
      </c>
      <c r="H40" s="1">
        <v>90</v>
      </c>
      <c r="I40" s="1">
        <v>0.25707400000000002</v>
      </c>
      <c r="J40" s="1">
        <v>84</v>
      </c>
      <c r="K40" s="4" t="s">
        <v>32</v>
      </c>
    </row>
    <row r="41" spans="1:11" x14ac:dyDescent="0.3">
      <c r="A41" s="1">
        <v>48</v>
      </c>
      <c r="B41" s="1">
        <v>6</v>
      </c>
      <c r="C41" s="5">
        <f t="shared" si="0"/>
        <v>3.5999999999999996</v>
      </c>
      <c r="D41" s="5">
        <f t="shared" si="1"/>
        <v>7.1999999999999993</v>
      </c>
      <c r="E41" s="1">
        <v>1.4</v>
      </c>
      <c r="F41" s="1">
        <v>2</v>
      </c>
      <c r="G41" s="1">
        <v>3.17</v>
      </c>
      <c r="H41" s="1">
        <v>60</v>
      </c>
      <c r="I41" s="1">
        <v>0.25707400000000002</v>
      </c>
      <c r="J41" s="1">
        <v>52</v>
      </c>
      <c r="K41" s="4" t="s">
        <v>32</v>
      </c>
    </row>
    <row r="42" spans="1:11" x14ac:dyDescent="0.3">
      <c r="A42" s="1">
        <v>49</v>
      </c>
      <c r="B42" s="1">
        <v>6</v>
      </c>
      <c r="C42" s="5">
        <f t="shared" si="0"/>
        <v>3.5999999999999996</v>
      </c>
      <c r="D42" s="5">
        <f t="shared" si="1"/>
        <v>7.1999999999999993</v>
      </c>
      <c r="E42" s="1">
        <v>0.7</v>
      </c>
      <c r="F42" s="1">
        <v>2</v>
      </c>
      <c r="G42" s="1">
        <v>3.17</v>
      </c>
      <c r="H42" s="1">
        <v>90</v>
      </c>
      <c r="I42" s="1">
        <v>5.6406999999999999E-2</v>
      </c>
      <c r="J42" s="1">
        <v>97</v>
      </c>
    </row>
    <row r="43" spans="1:11" x14ac:dyDescent="0.3">
      <c r="A43" s="1">
        <v>52</v>
      </c>
      <c r="B43" s="1">
        <v>7.5</v>
      </c>
      <c r="C43" s="5">
        <f t="shared" si="0"/>
        <v>4.5</v>
      </c>
      <c r="D43" s="5">
        <f t="shared" si="1"/>
        <v>9</v>
      </c>
      <c r="E43" s="1">
        <v>0.31</v>
      </c>
      <c r="F43" s="1">
        <v>1</v>
      </c>
      <c r="G43" s="1">
        <v>3.14</v>
      </c>
      <c r="H43" s="1">
        <v>160</v>
      </c>
      <c r="I43" s="1">
        <v>4.4830000000000002E-2</v>
      </c>
      <c r="J43" s="1">
        <v>160</v>
      </c>
      <c r="K43" s="4"/>
    </row>
    <row r="44" spans="1:11" x14ac:dyDescent="0.3">
      <c r="A44" s="1">
        <v>54</v>
      </c>
      <c r="B44" s="1">
        <v>5.5</v>
      </c>
      <c r="C44" s="5">
        <f t="shared" si="0"/>
        <v>3.3</v>
      </c>
      <c r="D44" s="5">
        <f t="shared" si="1"/>
        <v>6.6</v>
      </c>
      <c r="E44" s="1">
        <v>33</v>
      </c>
      <c r="F44" s="1">
        <v>7.5</v>
      </c>
      <c r="G44" s="1">
        <v>3.14</v>
      </c>
      <c r="H44" s="1">
        <v>250</v>
      </c>
      <c r="I44" s="1">
        <v>0.22620199999999999</v>
      </c>
      <c r="J44" s="1">
        <v>240</v>
      </c>
      <c r="K44" s="4" t="s">
        <v>32</v>
      </c>
    </row>
    <row r="45" spans="1:11" x14ac:dyDescent="0.3">
      <c r="A45" s="1">
        <v>57</v>
      </c>
      <c r="B45" s="1">
        <v>5</v>
      </c>
      <c r="C45" s="5">
        <f t="shared" si="0"/>
        <v>3</v>
      </c>
      <c r="D45" s="5">
        <f t="shared" si="1"/>
        <v>6</v>
      </c>
      <c r="E45" s="1">
        <v>0.01</v>
      </c>
      <c r="F45" s="1">
        <v>4</v>
      </c>
      <c r="G45" s="1">
        <v>3.08</v>
      </c>
      <c r="H45" s="1">
        <v>100</v>
      </c>
      <c r="I45" s="1">
        <v>7.0109999999999999E-3</v>
      </c>
      <c r="J45" s="1">
        <v>101</v>
      </c>
    </row>
    <row r="46" spans="1:11" x14ac:dyDescent="0.3">
      <c r="A46" s="1">
        <v>61</v>
      </c>
      <c r="B46" s="1">
        <v>1.5</v>
      </c>
      <c r="C46" s="5">
        <f t="shared" si="0"/>
        <v>0.89999999999999991</v>
      </c>
      <c r="D46" s="5">
        <f t="shared" si="1"/>
        <v>1.7999999999999998</v>
      </c>
      <c r="E46" s="1">
        <v>8.9</v>
      </c>
      <c r="F46" s="1">
        <v>0.99</v>
      </c>
      <c r="G46" s="1">
        <v>3.14</v>
      </c>
      <c r="H46" s="1">
        <v>250</v>
      </c>
      <c r="I46" s="1">
        <v>4.1001999999999997E-2</v>
      </c>
      <c r="J46" s="1">
        <v>243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6"/>
  <sheetViews>
    <sheetView topLeftCell="A37" workbookViewId="0">
      <selection activeCell="A49" sqref="A49:XFD66"/>
    </sheetView>
  </sheetViews>
  <sheetFormatPr defaultRowHeight="14.4" x14ac:dyDescent="0.3"/>
  <cols>
    <col min="4" max="4" width="17.33203125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  <c r="K1" s="3"/>
    </row>
    <row r="2" spans="1:11" x14ac:dyDescent="0.3">
      <c r="A2" s="1">
        <v>1</v>
      </c>
      <c r="B2" s="1">
        <v>4.5720000000000001</v>
      </c>
      <c r="C2" s="5">
        <f t="shared" ref="C2:C46" si="0">0.8*B2</f>
        <v>3.6576000000000004</v>
      </c>
      <c r="D2" s="5">
        <f t="shared" ref="D2:D46" si="1">2*C2</f>
        <v>7.3152000000000008</v>
      </c>
      <c r="E2" s="1">
        <v>3.55</v>
      </c>
      <c r="F2" s="1">
        <v>6.9</v>
      </c>
      <c r="G2" s="1">
        <v>3.14</v>
      </c>
      <c r="H2" s="1">
        <v>274.32</v>
      </c>
      <c r="I2" s="1">
        <v>2.5534999999999999E-2</v>
      </c>
      <c r="J2" s="1">
        <v>276</v>
      </c>
      <c r="K2" s="4"/>
    </row>
    <row r="3" spans="1:11" x14ac:dyDescent="0.3">
      <c r="A3" s="1">
        <v>2</v>
      </c>
      <c r="B3" s="1">
        <v>1.524</v>
      </c>
      <c r="C3" s="5">
        <f t="shared" si="0"/>
        <v>1.2192000000000001</v>
      </c>
      <c r="D3" s="5">
        <f t="shared" si="1"/>
        <v>2.4384000000000001</v>
      </c>
      <c r="E3" s="1">
        <v>28</v>
      </c>
      <c r="F3" s="1">
        <v>7.1</v>
      </c>
      <c r="G3" s="1">
        <v>3.14</v>
      </c>
      <c r="H3" s="1">
        <v>228.6</v>
      </c>
      <c r="I3" s="1">
        <v>2.9330999999999999E-2</v>
      </c>
      <c r="J3" s="1">
        <v>227</v>
      </c>
      <c r="K3" s="4"/>
    </row>
    <row r="4" spans="1:11" x14ac:dyDescent="0.3">
      <c r="A4" s="1">
        <v>4</v>
      </c>
      <c r="B4" s="1">
        <v>3.048</v>
      </c>
      <c r="C4" s="5">
        <f t="shared" si="0"/>
        <v>2.4384000000000001</v>
      </c>
      <c r="D4" s="5">
        <f t="shared" si="1"/>
        <v>4.8768000000000002</v>
      </c>
      <c r="E4" s="1">
        <v>43.28</v>
      </c>
      <c r="F4" s="1">
        <v>12.6</v>
      </c>
      <c r="G4" s="1">
        <v>3.14</v>
      </c>
      <c r="H4" s="1">
        <v>213.36</v>
      </c>
      <c r="I4" s="1">
        <v>0.112807</v>
      </c>
      <c r="J4" s="1">
        <v>220</v>
      </c>
      <c r="K4" s="4" t="s">
        <v>24</v>
      </c>
    </row>
    <row r="5" spans="1:11" x14ac:dyDescent="0.3">
      <c r="A5" s="1">
        <v>5</v>
      </c>
      <c r="B5" s="1">
        <v>3.048</v>
      </c>
      <c r="C5" s="5">
        <f t="shared" si="0"/>
        <v>2.4384000000000001</v>
      </c>
      <c r="D5" s="5">
        <f t="shared" si="1"/>
        <v>4.8768000000000002</v>
      </c>
      <c r="E5" s="1">
        <v>5.26</v>
      </c>
      <c r="F5" s="1">
        <v>10.9</v>
      </c>
      <c r="G5" s="1">
        <v>3.14</v>
      </c>
      <c r="H5" s="1">
        <v>259.08</v>
      </c>
      <c r="I5" s="1">
        <v>2.8289999999999999E-3</v>
      </c>
      <c r="J5" s="1">
        <v>256</v>
      </c>
      <c r="K5" s="4"/>
    </row>
    <row r="6" spans="1:11" x14ac:dyDescent="0.3">
      <c r="A6" s="1">
        <v>6</v>
      </c>
      <c r="B6" s="1">
        <v>3.81</v>
      </c>
      <c r="C6" s="5">
        <f t="shared" si="0"/>
        <v>3.048</v>
      </c>
      <c r="D6" s="5">
        <f t="shared" si="1"/>
        <v>6.0960000000000001</v>
      </c>
      <c r="E6" s="1">
        <v>4.03</v>
      </c>
      <c r="F6" s="1">
        <v>3.8</v>
      </c>
      <c r="G6" s="1">
        <v>3.14</v>
      </c>
      <c r="H6" s="1">
        <v>91.44</v>
      </c>
      <c r="I6" s="1">
        <v>0.12833700000000001</v>
      </c>
      <c r="J6" s="1">
        <v>95</v>
      </c>
      <c r="K6" s="4" t="s">
        <v>24</v>
      </c>
    </row>
    <row r="7" spans="1:11" x14ac:dyDescent="0.3">
      <c r="A7" s="1">
        <v>7</v>
      </c>
      <c r="B7" s="1">
        <v>2.286</v>
      </c>
      <c r="C7" s="5">
        <f t="shared" si="0"/>
        <v>1.8288000000000002</v>
      </c>
      <c r="D7" s="5">
        <f t="shared" si="1"/>
        <v>3.6576000000000004</v>
      </c>
      <c r="E7" s="1">
        <v>14.1</v>
      </c>
      <c r="F7" s="1">
        <v>3.7</v>
      </c>
      <c r="G7" s="1">
        <v>3.14</v>
      </c>
      <c r="H7" s="1">
        <v>146.304</v>
      </c>
      <c r="I7" s="1">
        <v>0.12658700000000001</v>
      </c>
      <c r="J7" s="1">
        <v>141</v>
      </c>
      <c r="K7" s="4" t="s">
        <v>24</v>
      </c>
    </row>
    <row r="8" spans="1:11" x14ac:dyDescent="0.3">
      <c r="A8" s="1">
        <v>8</v>
      </c>
      <c r="B8" s="1">
        <v>1.524</v>
      </c>
      <c r="C8" s="5">
        <f t="shared" si="0"/>
        <v>1.2192000000000001</v>
      </c>
      <c r="D8" s="5">
        <f t="shared" si="1"/>
        <v>2.4384000000000001</v>
      </c>
      <c r="E8" s="1">
        <v>29.64</v>
      </c>
      <c r="F8" s="1">
        <v>2.4</v>
      </c>
      <c r="G8" s="1">
        <v>3.14</v>
      </c>
      <c r="H8" s="1">
        <v>76.2</v>
      </c>
      <c r="I8" s="1">
        <v>0.998</v>
      </c>
      <c r="J8" s="1">
        <v>69</v>
      </c>
      <c r="K8" s="4" t="s">
        <v>24</v>
      </c>
    </row>
    <row r="9" spans="1:11" x14ac:dyDescent="0.3">
      <c r="A9" s="1">
        <v>9</v>
      </c>
      <c r="B9" s="1">
        <v>3.81</v>
      </c>
      <c r="C9" s="5">
        <f t="shared" si="0"/>
        <v>3.048</v>
      </c>
      <c r="D9" s="5">
        <f t="shared" si="1"/>
        <v>6.0960000000000001</v>
      </c>
      <c r="E9" s="1">
        <v>0.68</v>
      </c>
      <c r="F9" s="1">
        <v>2.1</v>
      </c>
      <c r="G9" s="1">
        <v>3.14</v>
      </c>
      <c r="H9" s="1">
        <v>106.68</v>
      </c>
      <c r="I9" s="1">
        <v>3.5159000000000003E-2</v>
      </c>
      <c r="J9" s="1">
        <v>100</v>
      </c>
    </row>
    <row r="10" spans="1:11" x14ac:dyDescent="0.3">
      <c r="A10" s="1">
        <v>10</v>
      </c>
      <c r="B10" s="1">
        <v>5.3339999999999996</v>
      </c>
      <c r="C10" s="5">
        <f t="shared" si="0"/>
        <v>4.2671999999999999</v>
      </c>
      <c r="D10" s="5">
        <f t="shared" si="1"/>
        <v>8.5343999999999998</v>
      </c>
      <c r="E10" s="1">
        <v>18.27</v>
      </c>
      <c r="F10" s="1">
        <v>1.9</v>
      </c>
      <c r="G10" s="1">
        <v>3.14</v>
      </c>
      <c r="H10" s="1">
        <v>350.52</v>
      </c>
      <c r="I10" s="1">
        <v>0.41143400000000002</v>
      </c>
      <c r="J10" s="1">
        <v>358</v>
      </c>
      <c r="K10" s="4" t="s">
        <v>24</v>
      </c>
    </row>
    <row r="11" spans="1:11" x14ac:dyDescent="0.3">
      <c r="A11" s="1">
        <v>11</v>
      </c>
      <c r="B11" s="1">
        <v>3.2004000000000001</v>
      </c>
      <c r="C11" s="5">
        <f t="shared" si="0"/>
        <v>2.5603200000000004</v>
      </c>
      <c r="D11" s="5">
        <f t="shared" si="1"/>
        <v>5.1206400000000007</v>
      </c>
      <c r="E11" s="1">
        <v>1.806</v>
      </c>
      <c r="F11" s="1">
        <v>5</v>
      </c>
      <c r="G11" s="1">
        <v>3.14</v>
      </c>
      <c r="H11" s="1">
        <v>182.88</v>
      </c>
      <c r="I11" s="1">
        <v>1.3806000000000001E-2</v>
      </c>
      <c r="J11" s="1">
        <v>185</v>
      </c>
      <c r="K11" s="4"/>
    </row>
    <row r="12" spans="1:11" x14ac:dyDescent="0.3">
      <c r="A12" s="1">
        <v>12</v>
      </c>
      <c r="B12" s="1">
        <v>1.524</v>
      </c>
      <c r="C12" s="5">
        <f t="shared" si="0"/>
        <v>1.2192000000000001</v>
      </c>
      <c r="D12" s="5">
        <f t="shared" si="1"/>
        <v>2.4384000000000001</v>
      </c>
      <c r="E12" s="1">
        <v>0.123</v>
      </c>
      <c r="F12" s="1">
        <v>6.5</v>
      </c>
      <c r="G12" s="1">
        <v>3.14</v>
      </c>
      <c r="H12" s="1">
        <v>42.671999999999997</v>
      </c>
      <c r="I12" s="1">
        <v>2.0999999999999999E-3</v>
      </c>
      <c r="J12" s="1">
        <v>42</v>
      </c>
      <c r="K12" s="4"/>
    </row>
    <row r="13" spans="1:11" x14ac:dyDescent="0.3">
      <c r="A13" s="1">
        <v>13</v>
      </c>
      <c r="B13" s="1">
        <v>1.524</v>
      </c>
      <c r="C13" s="5">
        <f t="shared" si="0"/>
        <v>1.2192000000000001</v>
      </c>
      <c r="D13" s="5">
        <f t="shared" si="1"/>
        <v>2.4384000000000001</v>
      </c>
      <c r="E13" s="1">
        <v>12.84</v>
      </c>
      <c r="F13" s="1">
        <v>6.5</v>
      </c>
      <c r="G13" s="1">
        <v>3.14</v>
      </c>
      <c r="H13" s="1">
        <v>109.72799999999999</v>
      </c>
      <c r="I13" s="1">
        <v>3.3222000000000002E-2</v>
      </c>
      <c r="J13" s="1">
        <v>106</v>
      </c>
      <c r="K13" s="4"/>
    </row>
    <row r="14" spans="1:11" x14ac:dyDescent="0.3">
      <c r="A14" s="1">
        <v>14</v>
      </c>
      <c r="B14" s="1">
        <v>3.81</v>
      </c>
      <c r="C14" s="5">
        <f t="shared" si="0"/>
        <v>3.048</v>
      </c>
      <c r="D14" s="5">
        <f t="shared" si="1"/>
        <v>6.0960000000000001</v>
      </c>
      <c r="E14" s="1">
        <v>8.18</v>
      </c>
      <c r="F14" s="1">
        <v>8.6</v>
      </c>
      <c r="G14" s="1">
        <v>3.14</v>
      </c>
      <c r="H14" s="1">
        <v>219.45599999999999</v>
      </c>
      <c r="I14" s="1">
        <v>4.2923999999999997E-2</v>
      </c>
      <c r="J14" s="1">
        <v>214</v>
      </c>
      <c r="K14" s="4"/>
    </row>
    <row r="15" spans="1:11" x14ac:dyDescent="0.3">
      <c r="A15" s="1">
        <v>15</v>
      </c>
      <c r="B15" s="1">
        <v>1.524</v>
      </c>
      <c r="C15" s="5">
        <f t="shared" si="0"/>
        <v>1.2192000000000001</v>
      </c>
      <c r="D15" s="5">
        <f t="shared" si="1"/>
        <v>2.4384000000000001</v>
      </c>
      <c r="E15" s="1">
        <v>13.8</v>
      </c>
      <c r="F15" s="1">
        <v>9</v>
      </c>
      <c r="G15" s="1">
        <v>3.14</v>
      </c>
      <c r="H15" s="1">
        <v>96.012</v>
      </c>
      <c r="I15" s="1">
        <v>2.5440999999999998E-2</v>
      </c>
      <c r="J15" s="1">
        <v>103</v>
      </c>
    </row>
    <row r="16" spans="1:11" x14ac:dyDescent="0.3">
      <c r="A16" s="1">
        <v>16</v>
      </c>
      <c r="B16" s="1">
        <v>3.048</v>
      </c>
      <c r="C16" s="5">
        <f t="shared" si="0"/>
        <v>2.4384000000000001</v>
      </c>
      <c r="D16" s="5">
        <f t="shared" si="1"/>
        <v>4.8768000000000002</v>
      </c>
      <c r="E16" s="1">
        <v>13.118</v>
      </c>
      <c r="F16" s="1">
        <v>9.3000000000000007</v>
      </c>
      <c r="G16" s="1">
        <v>3.14</v>
      </c>
      <c r="H16" s="1">
        <v>53.34</v>
      </c>
      <c r="I16" s="1">
        <v>0.25257499999999999</v>
      </c>
      <c r="J16" s="1">
        <v>53</v>
      </c>
      <c r="K16" s="4" t="s">
        <v>24</v>
      </c>
    </row>
    <row r="17" spans="1:11" x14ac:dyDescent="0.3">
      <c r="A17" s="1">
        <v>17</v>
      </c>
      <c r="B17" s="1">
        <v>2.286</v>
      </c>
      <c r="C17" s="5">
        <f t="shared" si="0"/>
        <v>1.8288000000000002</v>
      </c>
      <c r="D17" s="5">
        <f t="shared" si="1"/>
        <v>3.6576000000000004</v>
      </c>
      <c r="E17" s="1" t="s">
        <v>63</v>
      </c>
      <c r="F17" s="1">
        <v>8.1999999999999993</v>
      </c>
      <c r="G17" s="1">
        <v>3.14</v>
      </c>
      <c r="H17" s="1">
        <v>128.01599999999999</v>
      </c>
      <c r="I17" s="1">
        <v>0.50004999999999999</v>
      </c>
      <c r="J17" s="1">
        <v>134</v>
      </c>
      <c r="K17" s="4" t="s">
        <v>24</v>
      </c>
    </row>
    <row r="18" spans="1:11" x14ac:dyDescent="0.3">
      <c r="A18" s="1">
        <v>18</v>
      </c>
      <c r="B18" s="1">
        <v>3.81</v>
      </c>
      <c r="C18" s="5">
        <f t="shared" si="0"/>
        <v>3.048</v>
      </c>
      <c r="D18" s="5">
        <f t="shared" si="1"/>
        <v>6.0960000000000001</v>
      </c>
      <c r="E18" s="1">
        <v>22.9</v>
      </c>
      <c r="F18" s="1">
        <v>8.3000000000000007</v>
      </c>
      <c r="G18" s="1">
        <v>3.14</v>
      </c>
      <c r="H18" s="9">
        <v>914.4</v>
      </c>
      <c r="I18" s="1">
        <v>2.5937999999999999E-2</v>
      </c>
      <c r="J18" s="1">
        <v>914</v>
      </c>
    </row>
    <row r="19" spans="1:11" x14ac:dyDescent="0.3">
      <c r="A19" s="1">
        <v>19</v>
      </c>
      <c r="B19" s="1">
        <v>4.5720000000000001</v>
      </c>
      <c r="C19" s="5">
        <f t="shared" si="0"/>
        <v>3.6576000000000004</v>
      </c>
      <c r="D19" s="5">
        <f t="shared" si="1"/>
        <v>7.3152000000000008</v>
      </c>
      <c r="E19" s="1">
        <v>49.3</v>
      </c>
      <c r="F19" s="1">
        <v>7.5</v>
      </c>
      <c r="G19" s="1">
        <v>3.14</v>
      </c>
      <c r="H19" s="8">
        <v>192024</v>
      </c>
      <c r="I19" s="1">
        <v>0.50405</v>
      </c>
      <c r="J19" s="1">
        <v>198</v>
      </c>
      <c r="K19" s="4" t="s">
        <v>24</v>
      </c>
    </row>
    <row r="20" spans="1:11" x14ac:dyDescent="0.3">
      <c r="A20" s="1">
        <v>21</v>
      </c>
      <c r="B20" s="1">
        <v>2.286</v>
      </c>
      <c r="C20" s="5">
        <f t="shared" si="0"/>
        <v>1.8288000000000002</v>
      </c>
      <c r="D20" s="5">
        <f t="shared" si="1"/>
        <v>3.6576000000000004</v>
      </c>
      <c r="E20" s="1">
        <v>0.46899999999999997</v>
      </c>
      <c r="F20" s="1">
        <v>11.2</v>
      </c>
      <c r="G20" s="1">
        <v>3.14</v>
      </c>
      <c r="H20" s="1">
        <v>60.96</v>
      </c>
      <c r="I20" s="1">
        <v>5.0169999999999998E-3</v>
      </c>
      <c r="J20" s="1">
        <v>60</v>
      </c>
      <c r="K20" s="4"/>
    </row>
    <row r="21" spans="1:11" x14ac:dyDescent="0.3">
      <c r="A21" s="1">
        <v>22</v>
      </c>
      <c r="B21" s="1">
        <v>2.286</v>
      </c>
      <c r="C21" s="5">
        <f t="shared" si="0"/>
        <v>1.8288000000000002</v>
      </c>
      <c r="D21" s="5">
        <f t="shared" si="1"/>
        <v>3.6576000000000004</v>
      </c>
      <c r="E21" s="1">
        <v>20.95</v>
      </c>
      <c r="F21" s="1">
        <v>8.52</v>
      </c>
      <c r="G21" s="1">
        <v>3.14</v>
      </c>
      <c r="H21" s="1">
        <v>106.68</v>
      </c>
      <c r="I21" s="1">
        <v>9.5464999999999994E-2</v>
      </c>
      <c r="J21" s="1">
        <v>113</v>
      </c>
      <c r="K21" s="4"/>
    </row>
    <row r="22" spans="1:11" x14ac:dyDescent="0.3">
      <c r="A22" s="1">
        <v>23</v>
      </c>
      <c r="B22" s="1">
        <v>11</v>
      </c>
      <c r="C22" s="5">
        <f t="shared" si="0"/>
        <v>8.8000000000000007</v>
      </c>
      <c r="D22" s="5">
        <f t="shared" si="1"/>
        <v>17.600000000000001</v>
      </c>
      <c r="E22" s="1">
        <v>4.2460000000000004</v>
      </c>
      <c r="F22" s="1">
        <v>7.9</v>
      </c>
      <c r="G22" s="1">
        <v>3.14</v>
      </c>
      <c r="H22" s="1">
        <v>420</v>
      </c>
      <c r="I22" s="1">
        <v>9.6223000000000003E-2</v>
      </c>
      <c r="J22" s="1">
        <v>424</v>
      </c>
      <c r="K22" s="4"/>
    </row>
    <row r="23" spans="1:11" x14ac:dyDescent="0.3">
      <c r="A23" s="1">
        <v>24</v>
      </c>
      <c r="B23" s="1">
        <v>3.048</v>
      </c>
      <c r="C23" s="5">
        <f t="shared" si="0"/>
        <v>2.4384000000000001</v>
      </c>
      <c r="D23" s="5">
        <f t="shared" si="1"/>
        <v>4.8768000000000002</v>
      </c>
      <c r="E23" s="1">
        <v>67</v>
      </c>
      <c r="F23" s="1">
        <v>3.7</v>
      </c>
      <c r="G23" s="1">
        <v>3.14</v>
      </c>
      <c r="H23" s="1">
        <v>207.26400000000001</v>
      </c>
      <c r="I23" s="1">
        <v>0.749525</v>
      </c>
      <c r="J23" s="1">
        <v>204</v>
      </c>
      <c r="K23" s="4" t="s">
        <v>32</v>
      </c>
    </row>
    <row r="24" spans="1:11" x14ac:dyDescent="0.3">
      <c r="A24" s="1">
        <v>27</v>
      </c>
      <c r="B24" s="1">
        <v>2.1335999999999999</v>
      </c>
      <c r="C24" s="5">
        <f t="shared" si="0"/>
        <v>1.70688</v>
      </c>
      <c r="D24" s="5">
        <f t="shared" si="1"/>
        <v>3.4137599999999999</v>
      </c>
      <c r="E24" s="1">
        <v>1.504</v>
      </c>
      <c r="F24" s="1">
        <v>2.4</v>
      </c>
      <c r="G24" s="1">
        <v>3.14</v>
      </c>
      <c r="H24" s="1">
        <v>396.24</v>
      </c>
      <c r="I24" s="10">
        <v>4.5310000000000003E-3</v>
      </c>
      <c r="J24" s="1">
        <v>390</v>
      </c>
    </row>
    <row r="25" spans="1:11" x14ac:dyDescent="0.3">
      <c r="A25" s="1">
        <v>30</v>
      </c>
      <c r="B25" s="1">
        <v>1.5249999999999999</v>
      </c>
      <c r="C25" s="5">
        <f t="shared" si="0"/>
        <v>1.22</v>
      </c>
      <c r="D25" s="5">
        <f t="shared" si="1"/>
        <v>2.44</v>
      </c>
      <c r="E25" s="1">
        <v>5.22</v>
      </c>
      <c r="F25" s="1">
        <v>5.7</v>
      </c>
      <c r="G25" s="1">
        <v>3.14</v>
      </c>
      <c r="H25" s="1">
        <v>152</v>
      </c>
      <c r="I25" s="1">
        <v>9.8799999999999999E-3</v>
      </c>
      <c r="J25" s="1">
        <v>143</v>
      </c>
      <c r="K25" s="4"/>
    </row>
    <row r="26" spans="1:11" x14ac:dyDescent="0.3">
      <c r="A26" s="1">
        <v>31</v>
      </c>
      <c r="B26" s="1">
        <v>4.57</v>
      </c>
      <c r="C26" s="5">
        <f t="shared" si="0"/>
        <v>3.6560000000000006</v>
      </c>
      <c r="D26" s="5">
        <f t="shared" si="1"/>
        <v>7.3120000000000012</v>
      </c>
      <c r="E26" s="1">
        <v>9.23</v>
      </c>
      <c r="F26" s="1">
        <v>2.8</v>
      </c>
      <c r="G26" s="1">
        <v>3.14</v>
      </c>
      <c r="H26" s="1">
        <v>366</v>
      </c>
      <c r="I26" s="1">
        <v>0.11815100000000001</v>
      </c>
      <c r="J26" s="1">
        <v>373</v>
      </c>
      <c r="K26" s="4" t="s">
        <v>24</v>
      </c>
    </row>
    <row r="27" spans="1:11" x14ac:dyDescent="0.3">
      <c r="A27" s="1">
        <v>32</v>
      </c>
      <c r="B27" s="1">
        <v>3.05</v>
      </c>
      <c r="C27" s="5">
        <f t="shared" si="0"/>
        <v>2.44</v>
      </c>
      <c r="D27" s="5">
        <f t="shared" si="1"/>
        <v>4.88</v>
      </c>
      <c r="E27" s="1">
        <v>2.84</v>
      </c>
      <c r="F27" s="1">
        <v>0.6</v>
      </c>
      <c r="G27" s="1">
        <v>3.14</v>
      </c>
      <c r="H27" s="1">
        <v>168</v>
      </c>
      <c r="I27" s="1">
        <v>0.25257499999999999</v>
      </c>
      <c r="J27" s="1">
        <v>160</v>
      </c>
      <c r="K27" s="4" t="s">
        <v>24</v>
      </c>
    </row>
    <row r="28" spans="1:11" x14ac:dyDescent="0.3">
      <c r="A28" s="1">
        <v>33</v>
      </c>
      <c r="B28" s="1">
        <v>0.30499999999999999</v>
      </c>
      <c r="C28" s="5">
        <f t="shared" si="0"/>
        <v>0.24399999999999999</v>
      </c>
      <c r="D28" s="5">
        <f t="shared" si="1"/>
        <v>0.48799999999999999</v>
      </c>
      <c r="E28" s="1">
        <v>5.48</v>
      </c>
      <c r="F28" s="1">
        <v>7.4</v>
      </c>
      <c r="G28" s="1">
        <v>3.14</v>
      </c>
      <c r="H28" s="1">
        <v>107</v>
      </c>
      <c r="I28" s="1">
        <v>4.6500000000000003E-4</v>
      </c>
      <c r="J28" s="1">
        <v>102</v>
      </c>
    </row>
    <row r="29" spans="1:11" x14ac:dyDescent="0.3">
      <c r="A29" s="1">
        <v>35</v>
      </c>
      <c r="B29" s="1">
        <v>5.335</v>
      </c>
      <c r="C29" s="5">
        <f t="shared" si="0"/>
        <v>4.2679999999999998</v>
      </c>
      <c r="D29" s="5">
        <f t="shared" si="1"/>
        <v>8.5359999999999996</v>
      </c>
      <c r="E29" s="1">
        <v>18.27</v>
      </c>
      <c r="F29" s="1">
        <v>1.9</v>
      </c>
      <c r="G29" s="1">
        <v>3.14</v>
      </c>
      <c r="H29" s="1">
        <v>229</v>
      </c>
      <c r="I29" s="1">
        <v>0.75102500000000005</v>
      </c>
      <c r="J29" s="1">
        <v>228</v>
      </c>
      <c r="K29" s="4" t="s">
        <v>24</v>
      </c>
    </row>
    <row r="30" spans="1:11" x14ac:dyDescent="0.3">
      <c r="A30" s="1">
        <v>37</v>
      </c>
      <c r="B30" s="1">
        <v>7.62</v>
      </c>
      <c r="C30" s="5">
        <f t="shared" si="0"/>
        <v>6.0960000000000001</v>
      </c>
      <c r="D30" s="5">
        <f t="shared" si="1"/>
        <v>12.192</v>
      </c>
      <c r="E30" s="1">
        <v>6.01</v>
      </c>
      <c r="F30" s="1">
        <v>10</v>
      </c>
      <c r="G30" s="1">
        <v>3.14</v>
      </c>
      <c r="H30" s="1">
        <v>853</v>
      </c>
      <c r="I30" s="1">
        <v>3.1440999999999997E-2</v>
      </c>
      <c r="J30" s="1">
        <v>862</v>
      </c>
      <c r="K30" s="4"/>
    </row>
    <row r="31" spans="1:11" x14ac:dyDescent="0.3">
      <c r="A31" s="1">
        <v>38</v>
      </c>
      <c r="B31" s="1">
        <v>1.22</v>
      </c>
      <c r="C31" s="5">
        <f t="shared" si="0"/>
        <v>0.97599999999999998</v>
      </c>
      <c r="D31" s="5">
        <f t="shared" si="1"/>
        <v>1.952</v>
      </c>
      <c r="E31" s="1">
        <v>0.96</v>
      </c>
      <c r="F31" s="1">
        <v>3.9</v>
      </c>
      <c r="G31" s="1">
        <v>3.14</v>
      </c>
      <c r="H31" s="1">
        <v>30</v>
      </c>
      <c r="I31" s="1">
        <v>9.8799999999999999E-3</v>
      </c>
      <c r="J31" s="1">
        <v>32</v>
      </c>
    </row>
    <row r="32" spans="1:11" x14ac:dyDescent="0.3">
      <c r="A32" s="1">
        <v>39</v>
      </c>
      <c r="B32" s="1">
        <v>1.22</v>
      </c>
      <c r="C32" s="5">
        <f t="shared" si="0"/>
        <v>0.97599999999999998</v>
      </c>
      <c r="D32" s="5">
        <f t="shared" si="1"/>
        <v>1.952</v>
      </c>
      <c r="E32" s="1">
        <v>13.8</v>
      </c>
      <c r="F32" s="1">
        <v>7.6</v>
      </c>
      <c r="G32" s="1">
        <v>3.14</v>
      </c>
      <c r="H32" s="1">
        <v>64</v>
      </c>
      <c r="I32" s="1">
        <v>3.3222000000000002E-2</v>
      </c>
      <c r="J32" s="1">
        <v>68</v>
      </c>
      <c r="K32" s="4"/>
    </row>
    <row r="33" spans="1:11" x14ac:dyDescent="0.3">
      <c r="A33" s="1">
        <v>40</v>
      </c>
      <c r="B33" s="1">
        <v>8.3800000000000008</v>
      </c>
      <c r="C33" s="5">
        <f t="shared" si="0"/>
        <v>6.7040000000000006</v>
      </c>
      <c r="D33" s="5">
        <f t="shared" si="1"/>
        <v>13.408000000000001</v>
      </c>
      <c r="E33" s="1">
        <v>32.56</v>
      </c>
      <c r="F33" s="1">
        <v>9.82</v>
      </c>
      <c r="G33" s="7">
        <v>3.14</v>
      </c>
      <c r="H33" s="1">
        <v>244</v>
      </c>
      <c r="I33" s="1">
        <v>0.51004899999999997</v>
      </c>
      <c r="J33" s="1">
        <v>237</v>
      </c>
      <c r="K33" s="4" t="s">
        <v>32</v>
      </c>
    </row>
    <row r="34" spans="1:11" x14ac:dyDescent="0.3">
      <c r="A34" s="1">
        <v>41</v>
      </c>
      <c r="B34" s="7">
        <v>4.57</v>
      </c>
      <c r="C34" s="5">
        <f t="shared" si="0"/>
        <v>3.6560000000000006</v>
      </c>
      <c r="D34" s="5">
        <f t="shared" si="1"/>
        <v>7.3120000000000012</v>
      </c>
      <c r="E34" s="1">
        <v>15.6</v>
      </c>
      <c r="F34" s="1">
        <v>10.43</v>
      </c>
      <c r="G34" s="7">
        <v>3.14</v>
      </c>
      <c r="H34" s="1">
        <v>549</v>
      </c>
      <c r="I34" s="1">
        <v>3.5181999999999998E-2</v>
      </c>
      <c r="J34" s="1">
        <v>542</v>
      </c>
      <c r="K34" s="4"/>
    </row>
    <row r="35" spans="1:11" x14ac:dyDescent="0.3">
      <c r="A35" s="1">
        <v>42</v>
      </c>
      <c r="B35" s="1">
        <v>3.05</v>
      </c>
      <c r="C35" s="5">
        <f t="shared" si="0"/>
        <v>2.44</v>
      </c>
      <c r="D35" s="5">
        <f t="shared" si="1"/>
        <v>4.88</v>
      </c>
      <c r="E35" s="1">
        <v>9.23</v>
      </c>
      <c r="F35" s="1">
        <v>7.7</v>
      </c>
      <c r="G35" s="1">
        <v>3.14</v>
      </c>
      <c r="H35" s="1">
        <v>152</v>
      </c>
      <c r="I35" s="1">
        <v>5.0688999999999998E-2</v>
      </c>
      <c r="J35" s="1">
        <v>154</v>
      </c>
      <c r="K35" s="4"/>
    </row>
    <row r="36" spans="1:11" x14ac:dyDescent="0.3">
      <c r="A36" s="1">
        <v>43</v>
      </c>
      <c r="B36" s="1">
        <v>1.83</v>
      </c>
      <c r="C36" s="5">
        <f t="shared" si="0"/>
        <v>1.4640000000000002</v>
      </c>
      <c r="D36" s="5">
        <f t="shared" si="1"/>
        <v>2.9280000000000004</v>
      </c>
      <c r="E36" s="1">
        <v>3.13</v>
      </c>
      <c r="F36" s="1">
        <v>8</v>
      </c>
      <c r="G36" s="1">
        <v>3.14</v>
      </c>
      <c r="H36" s="1">
        <v>96</v>
      </c>
      <c r="I36" s="1">
        <v>9.8799999999999999E-3</v>
      </c>
      <c r="J36" s="1">
        <v>95</v>
      </c>
      <c r="K36" s="4"/>
    </row>
    <row r="37" spans="1:11" x14ac:dyDescent="0.3">
      <c r="A37" s="1">
        <v>44</v>
      </c>
      <c r="B37" s="1">
        <v>6</v>
      </c>
      <c r="C37" s="5">
        <f t="shared" si="0"/>
        <v>4.8000000000000007</v>
      </c>
      <c r="D37" s="5">
        <f t="shared" si="1"/>
        <v>9.6000000000000014</v>
      </c>
      <c r="E37" s="1">
        <v>7.0000000000000007E-2</v>
      </c>
      <c r="F37" s="1">
        <v>1</v>
      </c>
      <c r="G37" s="1">
        <v>3.17</v>
      </c>
      <c r="H37" s="1">
        <v>140</v>
      </c>
      <c r="I37" s="1">
        <v>2.3605000000000001E-2</v>
      </c>
      <c r="J37" s="1">
        <v>136</v>
      </c>
    </row>
    <row r="38" spans="1:11" x14ac:dyDescent="0.3">
      <c r="A38" s="1">
        <v>45</v>
      </c>
      <c r="B38" s="1">
        <v>6</v>
      </c>
      <c r="C38" s="5">
        <f t="shared" si="0"/>
        <v>4.8000000000000007</v>
      </c>
      <c r="D38" s="5">
        <f t="shared" si="1"/>
        <v>9.6000000000000014</v>
      </c>
      <c r="E38" s="1">
        <v>0.04</v>
      </c>
      <c r="F38" s="1">
        <v>1</v>
      </c>
      <c r="G38" s="1">
        <v>3.13</v>
      </c>
      <c r="H38" s="1">
        <v>90</v>
      </c>
      <c r="I38" s="1">
        <v>2.5534999999999999E-2</v>
      </c>
      <c r="J38" s="1">
        <v>93</v>
      </c>
    </row>
    <row r="39" spans="1:11" x14ac:dyDescent="0.3">
      <c r="A39" s="1">
        <v>46</v>
      </c>
      <c r="B39" s="1">
        <v>6</v>
      </c>
      <c r="C39" s="5">
        <f t="shared" si="0"/>
        <v>4.8000000000000007</v>
      </c>
      <c r="D39" s="5">
        <f t="shared" si="1"/>
        <v>9.6000000000000014</v>
      </c>
      <c r="E39" s="1">
        <v>1.3</v>
      </c>
      <c r="F39" s="1">
        <v>1</v>
      </c>
      <c r="G39" s="1">
        <v>3.17</v>
      </c>
      <c r="H39" s="1">
        <v>120</v>
      </c>
      <c r="I39" s="1">
        <v>0.31881799999999999</v>
      </c>
      <c r="J39" s="1">
        <v>117</v>
      </c>
      <c r="K39" s="4" t="s">
        <v>32</v>
      </c>
    </row>
    <row r="40" spans="1:11" x14ac:dyDescent="0.3">
      <c r="A40" s="1">
        <v>47</v>
      </c>
      <c r="B40" s="1">
        <v>6</v>
      </c>
      <c r="C40" s="5">
        <f t="shared" si="0"/>
        <v>4.8000000000000007</v>
      </c>
      <c r="D40" s="5">
        <f t="shared" si="1"/>
        <v>9.6000000000000014</v>
      </c>
      <c r="E40" s="1">
        <v>2.4</v>
      </c>
      <c r="F40" s="1">
        <v>2</v>
      </c>
      <c r="G40" s="1">
        <v>3.17</v>
      </c>
      <c r="H40" s="1">
        <v>90</v>
      </c>
      <c r="I40" s="1">
        <v>0.38056200000000001</v>
      </c>
      <c r="J40" s="1">
        <v>96</v>
      </c>
      <c r="K40" s="4" t="s">
        <v>32</v>
      </c>
    </row>
    <row r="41" spans="1:11" x14ac:dyDescent="0.3">
      <c r="A41" s="1">
        <v>48</v>
      </c>
      <c r="B41" s="1">
        <v>6</v>
      </c>
      <c r="C41" s="5">
        <f t="shared" si="0"/>
        <v>4.8000000000000007</v>
      </c>
      <c r="D41" s="5">
        <f t="shared" si="1"/>
        <v>9.6000000000000014</v>
      </c>
      <c r="E41" s="1">
        <v>1.4</v>
      </c>
      <c r="F41" s="1">
        <v>2</v>
      </c>
      <c r="G41" s="1">
        <v>3.17</v>
      </c>
      <c r="H41" s="1">
        <v>60</v>
      </c>
      <c r="I41" s="1">
        <v>0.50405</v>
      </c>
      <c r="J41" s="1">
        <v>52</v>
      </c>
      <c r="K41" s="4" t="s">
        <v>32</v>
      </c>
    </row>
    <row r="42" spans="1:11" x14ac:dyDescent="0.3">
      <c r="A42" s="1">
        <v>49</v>
      </c>
      <c r="B42" s="1">
        <v>6</v>
      </c>
      <c r="C42" s="5">
        <f t="shared" si="0"/>
        <v>4.8000000000000007</v>
      </c>
      <c r="D42" s="5">
        <f t="shared" si="1"/>
        <v>9.6000000000000014</v>
      </c>
      <c r="E42" s="1">
        <v>0.7</v>
      </c>
      <c r="F42" s="1">
        <v>2</v>
      </c>
      <c r="G42" s="1">
        <v>3.17</v>
      </c>
      <c r="H42" s="1">
        <v>90</v>
      </c>
      <c r="I42" s="1">
        <v>0.102715</v>
      </c>
      <c r="J42" s="1">
        <v>97</v>
      </c>
      <c r="K42" s="4" t="s">
        <v>24</v>
      </c>
    </row>
    <row r="43" spans="1:11" x14ac:dyDescent="0.3">
      <c r="A43" s="1">
        <v>52</v>
      </c>
      <c r="B43" s="1">
        <v>7.5</v>
      </c>
      <c r="C43" s="5">
        <f t="shared" si="0"/>
        <v>6</v>
      </c>
      <c r="D43" s="5">
        <f t="shared" si="1"/>
        <v>12</v>
      </c>
      <c r="E43" s="1">
        <v>0.31</v>
      </c>
      <c r="F43" s="1">
        <v>1</v>
      </c>
      <c r="G43" s="1">
        <v>3.14</v>
      </c>
      <c r="H43" s="1">
        <v>160</v>
      </c>
      <c r="I43" s="1">
        <v>7.7466999999999994E-2</v>
      </c>
      <c r="J43" s="1">
        <v>167</v>
      </c>
      <c r="K43" s="4"/>
    </row>
    <row r="44" spans="1:11" x14ac:dyDescent="0.3">
      <c r="A44" s="1">
        <v>54</v>
      </c>
      <c r="B44" s="1">
        <v>5.5</v>
      </c>
      <c r="C44" s="5">
        <f t="shared" si="0"/>
        <v>4.4000000000000004</v>
      </c>
      <c r="D44" s="5">
        <f t="shared" si="1"/>
        <v>8.8000000000000007</v>
      </c>
      <c r="E44" s="1">
        <v>33</v>
      </c>
      <c r="F44" s="1">
        <v>7.5</v>
      </c>
      <c r="G44" s="1">
        <v>3.14</v>
      </c>
      <c r="H44" s="1">
        <v>250</v>
      </c>
      <c r="I44" s="1">
        <v>0.31881799999999999</v>
      </c>
      <c r="J44" s="1">
        <v>260</v>
      </c>
      <c r="K44" s="4" t="s">
        <v>32</v>
      </c>
    </row>
    <row r="45" spans="1:11" x14ac:dyDescent="0.3">
      <c r="A45" s="1">
        <v>57</v>
      </c>
      <c r="B45" s="1">
        <v>5</v>
      </c>
      <c r="C45" s="5">
        <f t="shared" si="0"/>
        <v>4</v>
      </c>
      <c r="D45" s="5">
        <f t="shared" si="1"/>
        <v>8</v>
      </c>
      <c r="E45" s="1">
        <v>0.01</v>
      </c>
      <c r="F45" s="1">
        <v>4</v>
      </c>
      <c r="G45" s="1">
        <v>3.08</v>
      </c>
      <c r="H45" s="1">
        <v>100</v>
      </c>
      <c r="I45" s="1">
        <v>1.3958E-2</v>
      </c>
      <c r="J45" s="1">
        <v>94</v>
      </c>
    </row>
    <row r="46" spans="1:11" x14ac:dyDescent="0.3">
      <c r="A46" s="1">
        <v>61</v>
      </c>
      <c r="B46" s="1">
        <v>1.5</v>
      </c>
      <c r="C46" s="5">
        <f t="shared" si="0"/>
        <v>1.2000000000000002</v>
      </c>
      <c r="D46" s="5">
        <f t="shared" si="1"/>
        <v>2.4000000000000004</v>
      </c>
      <c r="E46" s="1">
        <v>8.9</v>
      </c>
      <c r="F46" s="1">
        <v>0.99</v>
      </c>
      <c r="G46" s="1">
        <v>3.14</v>
      </c>
      <c r="H46" s="1">
        <v>250</v>
      </c>
      <c r="I46" s="1">
        <v>7.2123999999999994E-2</v>
      </c>
      <c r="J46" s="1">
        <v>253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8"/>
  <sheetViews>
    <sheetView topLeftCell="A25" zoomScale="130" zoomScaleNormal="130" workbookViewId="0">
      <selection activeCell="B62" sqref="B62"/>
    </sheetView>
  </sheetViews>
  <sheetFormatPr defaultRowHeight="14.4" x14ac:dyDescent="0.3"/>
  <cols>
    <col min="4" max="4" width="19.33203125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  <c r="K1" s="3"/>
    </row>
    <row r="2" spans="1:11" x14ac:dyDescent="0.3">
      <c r="A2" s="1">
        <v>1</v>
      </c>
      <c r="B2" s="1">
        <v>4.5720000000000001</v>
      </c>
      <c r="C2" s="5">
        <f t="shared" ref="C2:C48" si="0">1*B2</f>
        <v>4.5720000000000001</v>
      </c>
      <c r="D2" s="5">
        <f t="shared" ref="D2:D48" si="1">2*C2</f>
        <v>9.1440000000000001</v>
      </c>
      <c r="E2" s="1">
        <v>3.55</v>
      </c>
      <c r="F2" s="1">
        <v>6.9</v>
      </c>
      <c r="G2" s="1">
        <v>3.14</v>
      </c>
      <c r="H2" s="1">
        <v>274.32</v>
      </c>
      <c r="I2" s="1">
        <v>4.0971E-2</v>
      </c>
      <c r="J2" s="1">
        <v>273</v>
      </c>
      <c r="K2" s="4"/>
    </row>
    <row r="3" spans="1:11" x14ac:dyDescent="0.3">
      <c r="A3" s="1">
        <v>2</v>
      </c>
      <c r="B3" s="1">
        <v>1.524</v>
      </c>
      <c r="C3" s="5">
        <f t="shared" si="0"/>
        <v>1.524</v>
      </c>
      <c r="D3" s="5">
        <f t="shared" si="1"/>
        <v>3.048</v>
      </c>
      <c r="E3" s="1">
        <v>28</v>
      </c>
      <c r="F3" s="1">
        <v>7.1</v>
      </c>
      <c r="G3" s="1">
        <v>3.14</v>
      </c>
      <c r="H3" s="1">
        <v>228.6</v>
      </c>
      <c r="I3" s="1">
        <v>4.8783E-2</v>
      </c>
      <c r="J3" s="1">
        <v>221</v>
      </c>
      <c r="K3" s="4"/>
    </row>
    <row r="4" spans="1:11" x14ac:dyDescent="0.3">
      <c r="A4" s="1">
        <v>3</v>
      </c>
      <c r="B4" s="1">
        <v>3.048</v>
      </c>
      <c r="C4" s="5">
        <f t="shared" si="0"/>
        <v>3.048</v>
      </c>
      <c r="D4" s="5">
        <f t="shared" si="1"/>
        <v>6.0960000000000001</v>
      </c>
      <c r="E4" s="1">
        <v>0.45</v>
      </c>
      <c r="F4" s="1">
        <v>0.8</v>
      </c>
      <c r="G4" s="1">
        <v>3.14</v>
      </c>
      <c r="H4" s="1">
        <v>914.4</v>
      </c>
      <c r="I4" s="1">
        <v>6.2830000000000004E-3</v>
      </c>
      <c r="J4" s="1">
        <v>918</v>
      </c>
    </row>
    <row r="5" spans="1:11" x14ac:dyDescent="0.3">
      <c r="A5" s="1">
        <v>4</v>
      </c>
      <c r="B5" s="1">
        <v>3.048</v>
      </c>
      <c r="C5" s="5">
        <f t="shared" si="0"/>
        <v>3.048</v>
      </c>
      <c r="D5" s="5">
        <f t="shared" si="1"/>
        <v>6.0960000000000001</v>
      </c>
      <c r="E5" s="1">
        <v>43.28</v>
      </c>
      <c r="F5" s="1">
        <v>12.6</v>
      </c>
      <c r="G5" s="1">
        <v>3.14</v>
      </c>
      <c r="H5" s="1">
        <v>213.36</v>
      </c>
      <c r="I5" s="1">
        <v>0.19045599999999999</v>
      </c>
      <c r="J5" s="1">
        <v>204</v>
      </c>
      <c r="K5" s="4" t="s">
        <v>24</v>
      </c>
    </row>
    <row r="6" spans="1:11" x14ac:dyDescent="0.3">
      <c r="A6" s="1">
        <v>5</v>
      </c>
      <c r="B6" s="1">
        <v>1.524</v>
      </c>
      <c r="C6" s="5">
        <f t="shared" si="0"/>
        <v>1.524</v>
      </c>
      <c r="D6" s="5">
        <f t="shared" si="1"/>
        <v>3.048</v>
      </c>
      <c r="E6" s="1">
        <v>5.26</v>
      </c>
      <c r="F6" s="1">
        <v>10.9</v>
      </c>
      <c r="G6" s="1">
        <v>3.14</v>
      </c>
      <c r="H6" s="1">
        <v>259.08</v>
      </c>
      <c r="I6" s="1">
        <v>4.5310000000000003E-3</v>
      </c>
      <c r="J6" s="1">
        <v>251</v>
      </c>
    </row>
    <row r="7" spans="1:11" x14ac:dyDescent="0.3">
      <c r="A7" s="1">
        <v>6</v>
      </c>
      <c r="B7" s="1">
        <v>3.81</v>
      </c>
      <c r="C7" s="5">
        <f t="shared" si="0"/>
        <v>3.81</v>
      </c>
      <c r="D7" s="5">
        <f t="shared" si="1"/>
        <v>7.62</v>
      </c>
      <c r="E7" s="1">
        <v>4.03</v>
      </c>
      <c r="F7" s="1">
        <v>3.8</v>
      </c>
      <c r="G7" s="1">
        <v>3.14</v>
      </c>
      <c r="H7" s="1">
        <v>91.44</v>
      </c>
      <c r="I7" s="1">
        <v>0.25707400000000002</v>
      </c>
      <c r="J7" s="1">
        <v>82</v>
      </c>
      <c r="K7" s="4" t="s">
        <v>24</v>
      </c>
    </row>
    <row r="8" spans="1:11" x14ac:dyDescent="0.3">
      <c r="A8" s="1">
        <v>7</v>
      </c>
      <c r="B8" s="1">
        <v>2.286</v>
      </c>
      <c r="C8" s="5">
        <f t="shared" si="0"/>
        <v>2.286</v>
      </c>
      <c r="D8" s="5">
        <f t="shared" si="1"/>
        <v>4.5720000000000001</v>
      </c>
      <c r="E8" s="1">
        <v>14.1</v>
      </c>
      <c r="F8" s="1">
        <v>3.7</v>
      </c>
      <c r="G8" s="1">
        <v>3.14</v>
      </c>
      <c r="H8" s="1">
        <v>146.304</v>
      </c>
      <c r="I8" s="1">
        <v>0.19045599999999999</v>
      </c>
      <c r="J8" s="1">
        <v>149</v>
      </c>
      <c r="K8" s="4" t="s">
        <v>24</v>
      </c>
    </row>
    <row r="9" spans="1:11" x14ac:dyDescent="0.3">
      <c r="A9" s="1">
        <v>8</v>
      </c>
      <c r="B9" s="1">
        <v>1.524</v>
      </c>
      <c r="C9" s="5">
        <f t="shared" si="0"/>
        <v>1.524</v>
      </c>
      <c r="D9" s="5">
        <f t="shared" si="1"/>
        <v>3.048</v>
      </c>
      <c r="E9" s="1">
        <v>29.64</v>
      </c>
      <c r="F9" s="1">
        <v>2.4</v>
      </c>
      <c r="G9" s="1">
        <v>3.14</v>
      </c>
      <c r="H9" s="1">
        <v>76.2</v>
      </c>
      <c r="I9" s="1">
        <v>0.998</v>
      </c>
      <c r="J9" s="1">
        <v>85</v>
      </c>
      <c r="K9" s="4" t="s">
        <v>24</v>
      </c>
    </row>
    <row r="10" spans="1:11" x14ac:dyDescent="0.3">
      <c r="A10" s="1">
        <v>9</v>
      </c>
      <c r="B10" s="1">
        <v>3.81</v>
      </c>
      <c r="C10" s="5">
        <f t="shared" si="0"/>
        <v>3.81</v>
      </c>
      <c r="D10" s="5">
        <f t="shared" si="1"/>
        <v>7.62</v>
      </c>
      <c r="E10" s="1">
        <v>0.68</v>
      </c>
      <c r="F10" s="1">
        <v>2.1</v>
      </c>
      <c r="G10" s="1">
        <v>3.14</v>
      </c>
      <c r="H10" s="1">
        <v>106.68</v>
      </c>
      <c r="I10" s="1">
        <v>5.6406999999999999E-2</v>
      </c>
      <c r="J10" s="1">
        <v>100</v>
      </c>
    </row>
    <row r="11" spans="1:11" x14ac:dyDescent="0.3">
      <c r="A11" s="1">
        <v>10</v>
      </c>
      <c r="B11" s="1">
        <v>5.3339999999999996</v>
      </c>
      <c r="C11" s="5">
        <f t="shared" si="0"/>
        <v>5.3339999999999996</v>
      </c>
      <c r="D11" s="5">
        <f t="shared" si="1"/>
        <v>10.667999999999999</v>
      </c>
      <c r="E11" s="1">
        <v>18.27</v>
      </c>
      <c r="F11" s="1">
        <v>1.9</v>
      </c>
      <c r="G11" s="1">
        <v>3.14</v>
      </c>
      <c r="H11" s="1">
        <v>350.52</v>
      </c>
      <c r="I11" s="1">
        <v>0.56841799999999998</v>
      </c>
      <c r="J11" s="1">
        <v>356</v>
      </c>
      <c r="K11" s="4" t="s">
        <v>24</v>
      </c>
    </row>
    <row r="12" spans="1:11" x14ac:dyDescent="0.3">
      <c r="A12" s="1">
        <v>11</v>
      </c>
      <c r="B12" s="1">
        <v>3.2004000000000001</v>
      </c>
      <c r="C12" s="5">
        <f t="shared" si="0"/>
        <v>3.2004000000000001</v>
      </c>
      <c r="D12" s="5">
        <f t="shared" si="1"/>
        <v>6.4008000000000003</v>
      </c>
      <c r="E12" s="1">
        <v>1.806</v>
      </c>
      <c r="F12" s="1">
        <v>5</v>
      </c>
      <c r="G12" s="1">
        <v>3.14</v>
      </c>
      <c r="H12" s="1">
        <v>182.88</v>
      </c>
      <c r="I12" s="1">
        <v>2.1676000000000001E-2</v>
      </c>
      <c r="J12" s="1">
        <v>186</v>
      </c>
      <c r="K12" s="4"/>
    </row>
    <row r="13" spans="1:11" x14ac:dyDescent="0.3">
      <c r="A13" s="1">
        <v>12</v>
      </c>
      <c r="B13" s="1">
        <v>1.524</v>
      </c>
      <c r="C13" s="5">
        <f t="shared" si="0"/>
        <v>1.524</v>
      </c>
      <c r="D13" s="5">
        <f t="shared" si="1"/>
        <v>3.048</v>
      </c>
      <c r="E13" s="1">
        <v>0.123</v>
      </c>
      <c r="F13" s="1">
        <v>6.5</v>
      </c>
      <c r="G13" s="1">
        <v>3.14</v>
      </c>
      <c r="H13" s="1">
        <v>42.671999999999997</v>
      </c>
      <c r="I13" s="1">
        <v>4.045E-3</v>
      </c>
      <c r="J13" s="1">
        <v>33</v>
      </c>
      <c r="K13" s="4"/>
    </row>
    <row r="14" spans="1:11" x14ac:dyDescent="0.3">
      <c r="A14" s="1">
        <v>13</v>
      </c>
      <c r="B14" s="1">
        <v>1.524</v>
      </c>
      <c r="C14" s="5">
        <f t="shared" si="0"/>
        <v>1.524</v>
      </c>
      <c r="D14" s="5">
        <f t="shared" si="1"/>
        <v>3.048</v>
      </c>
      <c r="E14" s="1">
        <v>12.84</v>
      </c>
      <c r="F14" s="1">
        <v>6.5</v>
      </c>
      <c r="G14" s="1">
        <v>3.14</v>
      </c>
      <c r="H14" s="1">
        <v>109.72799999999999</v>
      </c>
      <c r="I14" s="1">
        <v>4.8783E-2</v>
      </c>
      <c r="J14" s="1">
        <v>113</v>
      </c>
      <c r="K14" s="4"/>
    </row>
    <row r="15" spans="1:11" x14ac:dyDescent="0.3">
      <c r="A15" s="1">
        <v>14</v>
      </c>
      <c r="B15" s="1">
        <v>3.81</v>
      </c>
      <c r="C15" s="5">
        <f t="shared" si="0"/>
        <v>3.81</v>
      </c>
      <c r="D15" s="5">
        <f t="shared" si="1"/>
        <v>7.62</v>
      </c>
      <c r="E15" s="1">
        <v>8.18</v>
      </c>
      <c r="F15" s="1">
        <v>8.6</v>
      </c>
      <c r="G15" s="1">
        <v>3.14</v>
      </c>
      <c r="H15" s="1">
        <v>219.45599999999999</v>
      </c>
      <c r="I15" s="1">
        <v>6.4125000000000001E-2</v>
      </c>
      <c r="J15" s="1">
        <v>226</v>
      </c>
    </row>
    <row r="16" spans="1:11" x14ac:dyDescent="0.3">
      <c r="A16" s="1">
        <v>15</v>
      </c>
      <c r="B16" s="1">
        <v>1.524</v>
      </c>
      <c r="C16" s="5">
        <f t="shared" si="0"/>
        <v>1.524</v>
      </c>
      <c r="D16" s="5">
        <f t="shared" si="1"/>
        <v>3.048</v>
      </c>
      <c r="E16" s="1">
        <v>13.8</v>
      </c>
      <c r="F16" s="1">
        <v>9</v>
      </c>
      <c r="G16" s="1">
        <v>3.14</v>
      </c>
      <c r="H16" s="1">
        <v>96.012</v>
      </c>
      <c r="I16" s="1">
        <v>4.8783E-2</v>
      </c>
      <c r="J16" s="1">
        <v>89</v>
      </c>
    </row>
    <row r="17" spans="1:11" x14ac:dyDescent="0.3">
      <c r="A17" s="1">
        <v>16</v>
      </c>
      <c r="B17" s="1">
        <v>3.048</v>
      </c>
      <c r="C17" s="5">
        <f t="shared" si="0"/>
        <v>3.048</v>
      </c>
      <c r="D17" s="5">
        <f t="shared" si="1"/>
        <v>6.0960000000000001</v>
      </c>
      <c r="E17" s="1">
        <v>13.118</v>
      </c>
      <c r="F17" s="1">
        <v>9.3000000000000007</v>
      </c>
      <c r="G17" s="1">
        <v>3.14</v>
      </c>
      <c r="H17" s="1">
        <v>53.34</v>
      </c>
      <c r="I17" s="1">
        <v>0.50105</v>
      </c>
      <c r="J17" s="1">
        <v>48</v>
      </c>
      <c r="K17" s="4" t="s">
        <v>24</v>
      </c>
    </row>
    <row r="18" spans="1:11" x14ac:dyDescent="0.3">
      <c r="A18" s="1">
        <v>17</v>
      </c>
      <c r="B18" s="1">
        <v>2.286</v>
      </c>
      <c r="C18" s="5">
        <f t="shared" si="0"/>
        <v>2.286</v>
      </c>
      <c r="D18" s="5">
        <f t="shared" si="1"/>
        <v>4.5720000000000001</v>
      </c>
      <c r="E18" s="1">
        <v>84.9</v>
      </c>
      <c r="F18" s="1">
        <v>8.1999999999999993</v>
      </c>
      <c r="G18" s="1">
        <v>3.14</v>
      </c>
      <c r="H18" s="1">
        <v>128.01599999999999</v>
      </c>
      <c r="I18" s="1">
        <v>0.749525</v>
      </c>
      <c r="J18" s="1">
        <v>129</v>
      </c>
      <c r="K18" s="4" t="s">
        <v>24</v>
      </c>
    </row>
    <row r="19" spans="1:11" x14ac:dyDescent="0.3">
      <c r="A19" s="1">
        <v>18</v>
      </c>
      <c r="B19" s="1">
        <v>3.81</v>
      </c>
      <c r="C19" s="5">
        <f t="shared" si="0"/>
        <v>3.81</v>
      </c>
      <c r="D19" s="5">
        <f t="shared" si="1"/>
        <v>7.62</v>
      </c>
      <c r="E19" s="1">
        <v>22.9</v>
      </c>
      <c r="F19" s="1">
        <v>8.3000000000000007</v>
      </c>
      <c r="G19" s="1">
        <v>3.14</v>
      </c>
      <c r="H19" s="9">
        <v>914.4</v>
      </c>
      <c r="I19" s="1">
        <v>3.9040999999999999E-2</v>
      </c>
      <c r="J19" s="1">
        <v>915</v>
      </c>
    </row>
    <row r="20" spans="1:11" x14ac:dyDescent="0.3">
      <c r="A20" s="1">
        <v>19</v>
      </c>
      <c r="B20" s="1">
        <v>4.5720000000000001</v>
      </c>
      <c r="C20" s="5">
        <f t="shared" si="0"/>
        <v>4.5720000000000001</v>
      </c>
      <c r="D20" s="5">
        <f t="shared" si="1"/>
        <v>9.1440000000000001</v>
      </c>
      <c r="E20" s="1">
        <v>49.3</v>
      </c>
      <c r="F20" s="1">
        <v>7.5</v>
      </c>
      <c r="G20" s="1">
        <v>3.14</v>
      </c>
      <c r="H20" s="8">
        <v>192024</v>
      </c>
      <c r="I20" s="1">
        <v>0.75102500000000005</v>
      </c>
      <c r="J20" s="1">
        <v>188</v>
      </c>
      <c r="K20" s="4" t="s">
        <v>24</v>
      </c>
    </row>
    <row r="21" spans="1:11" x14ac:dyDescent="0.3">
      <c r="A21" s="1">
        <v>21</v>
      </c>
      <c r="B21" s="1">
        <v>2.286</v>
      </c>
      <c r="C21" s="5">
        <f t="shared" si="0"/>
        <v>2.286</v>
      </c>
      <c r="D21" s="5">
        <f t="shared" si="1"/>
        <v>4.5720000000000001</v>
      </c>
      <c r="E21" s="1">
        <v>0.46899999999999997</v>
      </c>
      <c r="F21" s="1">
        <v>11.2</v>
      </c>
      <c r="G21" s="1">
        <v>3.14</v>
      </c>
      <c r="H21" s="1">
        <v>60.96</v>
      </c>
      <c r="I21" s="1">
        <v>7.9819999999999995E-3</v>
      </c>
      <c r="J21" s="1">
        <v>59</v>
      </c>
      <c r="K21" s="4"/>
    </row>
    <row r="22" spans="1:11" x14ac:dyDescent="0.3">
      <c r="A22" s="1">
        <v>22</v>
      </c>
      <c r="B22" s="1">
        <v>2.286</v>
      </c>
      <c r="C22" s="5">
        <f t="shared" si="0"/>
        <v>2.286</v>
      </c>
      <c r="D22" s="5">
        <f t="shared" si="1"/>
        <v>4.5720000000000001</v>
      </c>
      <c r="E22" s="1">
        <v>20.95</v>
      </c>
      <c r="F22" s="1">
        <v>8.52</v>
      </c>
      <c r="G22" s="1">
        <v>3.14</v>
      </c>
      <c r="H22" s="1">
        <v>106.68</v>
      </c>
      <c r="I22" s="1">
        <v>0.19045599999999999</v>
      </c>
      <c r="J22" s="1">
        <v>98</v>
      </c>
      <c r="K22" s="4" t="s">
        <v>24</v>
      </c>
    </row>
    <row r="23" spans="1:11" x14ac:dyDescent="0.3">
      <c r="A23" s="1">
        <v>23</v>
      </c>
      <c r="B23" s="1">
        <v>11</v>
      </c>
      <c r="C23" s="5">
        <f t="shared" si="0"/>
        <v>11</v>
      </c>
      <c r="D23" s="5">
        <f t="shared" si="1"/>
        <v>22</v>
      </c>
      <c r="E23" s="1">
        <v>4.2460000000000004</v>
      </c>
      <c r="F23" s="1">
        <v>7.9</v>
      </c>
      <c r="G23" s="1">
        <v>3.14</v>
      </c>
      <c r="H23" s="1">
        <v>420</v>
      </c>
      <c r="I23" s="1">
        <v>0.153553</v>
      </c>
      <c r="J23" s="1">
        <v>425</v>
      </c>
      <c r="K23" s="4" t="s">
        <v>32</v>
      </c>
    </row>
    <row r="24" spans="1:11" x14ac:dyDescent="0.3">
      <c r="A24" s="1">
        <v>24</v>
      </c>
      <c r="B24" s="1">
        <v>3.048</v>
      </c>
      <c r="C24" s="5">
        <f t="shared" si="0"/>
        <v>3.048</v>
      </c>
      <c r="D24" s="5">
        <f t="shared" si="1"/>
        <v>6.0960000000000001</v>
      </c>
      <c r="E24" s="1">
        <v>67</v>
      </c>
      <c r="F24" s="1">
        <v>3.7</v>
      </c>
      <c r="G24" s="1">
        <v>3.14</v>
      </c>
      <c r="H24" s="1">
        <v>207.26400000000001</v>
      </c>
      <c r="I24" s="10">
        <v>0.998</v>
      </c>
      <c r="J24" s="1">
        <v>208</v>
      </c>
      <c r="K24" s="4" t="s">
        <v>24</v>
      </c>
    </row>
    <row r="25" spans="1:11" x14ac:dyDescent="0.3">
      <c r="A25" s="1">
        <v>27</v>
      </c>
      <c r="B25" s="1">
        <v>2.1335999999999999</v>
      </c>
      <c r="C25" s="5">
        <f t="shared" si="0"/>
        <v>2.1335999999999999</v>
      </c>
      <c r="D25" s="5">
        <f t="shared" si="1"/>
        <v>4.2671999999999999</v>
      </c>
      <c r="E25" s="1">
        <v>1.504</v>
      </c>
      <c r="F25" s="1">
        <v>2.4</v>
      </c>
      <c r="G25" s="1">
        <v>3.14</v>
      </c>
      <c r="H25" s="1">
        <v>396.24</v>
      </c>
      <c r="I25" s="1">
        <v>6.9629999999999996E-3</v>
      </c>
      <c r="J25" s="1">
        <v>396</v>
      </c>
      <c r="K25" s="4"/>
    </row>
    <row r="26" spans="1:11" x14ac:dyDescent="0.3">
      <c r="A26" s="1">
        <v>28</v>
      </c>
      <c r="B26" s="1">
        <v>1.0668</v>
      </c>
      <c r="C26" s="5">
        <f t="shared" si="0"/>
        <v>1.0668</v>
      </c>
      <c r="D26" s="5">
        <f t="shared" si="1"/>
        <v>2.1335999999999999</v>
      </c>
      <c r="E26" s="1">
        <v>5.375</v>
      </c>
      <c r="F26" s="1">
        <v>5.5</v>
      </c>
      <c r="G26" s="1">
        <v>3.14</v>
      </c>
      <c r="H26" s="1">
        <v>457.2</v>
      </c>
      <c r="I26" s="1">
        <v>2.2209999999999999E-3</v>
      </c>
      <c r="J26" s="1">
        <v>461</v>
      </c>
    </row>
    <row r="27" spans="1:11" x14ac:dyDescent="0.3">
      <c r="A27" s="1">
        <v>30</v>
      </c>
      <c r="B27" s="1">
        <v>1.5249999999999999</v>
      </c>
      <c r="C27" s="5">
        <f t="shared" si="0"/>
        <v>1.5249999999999999</v>
      </c>
      <c r="D27" s="5">
        <f t="shared" si="1"/>
        <v>3.05</v>
      </c>
      <c r="E27" s="1">
        <v>5.22</v>
      </c>
      <c r="F27" s="1">
        <v>5.7</v>
      </c>
      <c r="G27" s="1">
        <v>3.14</v>
      </c>
      <c r="H27" s="1">
        <v>152</v>
      </c>
      <c r="I27" s="1">
        <v>1.3771E-2</v>
      </c>
      <c r="J27" s="1">
        <v>159</v>
      </c>
    </row>
    <row r="28" spans="1:11" x14ac:dyDescent="0.3">
      <c r="A28" s="1">
        <v>31</v>
      </c>
      <c r="B28" s="1">
        <v>4.57</v>
      </c>
      <c r="C28" s="5">
        <f t="shared" si="0"/>
        <v>4.57</v>
      </c>
      <c r="D28" s="5">
        <f t="shared" si="1"/>
        <v>9.14</v>
      </c>
      <c r="E28" s="1">
        <v>9.23</v>
      </c>
      <c r="F28" s="1">
        <v>2.8</v>
      </c>
      <c r="G28" s="1">
        <v>3.14</v>
      </c>
      <c r="H28" s="1">
        <v>366</v>
      </c>
      <c r="I28" s="1">
        <v>0.172177</v>
      </c>
      <c r="J28" s="1">
        <v>365</v>
      </c>
      <c r="K28" s="4" t="s">
        <v>24</v>
      </c>
    </row>
    <row r="29" spans="1:11" x14ac:dyDescent="0.3">
      <c r="A29" s="1">
        <v>32</v>
      </c>
      <c r="B29" s="1">
        <v>3.05</v>
      </c>
      <c r="C29" s="5">
        <f t="shared" si="0"/>
        <v>3.05</v>
      </c>
      <c r="D29" s="5">
        <f t="shared" si="1"/>
        <v>6.1</v>
      </c>
      <c r="E29" s="1">
        <v>2.84</v>
      </c>
      <c r="F29" s="1">
        <v>0.6</v>
      </c>
      <c r="G29" s="1">
        <v>3.14</v>
      </c>
      <c r="H29" s="1">
        <v>168</v>
      </c>
      <c r="I29" s="1">
        <v>0.34575299999999998</v>
      </c>
      <c r="J29" s="1">
        <v>167</v>
      </c>
      <c r="K29" s="4" t="s">
        <v>24</v>
      </c>
    </row>
    <row r="30" spans="1:11" x14ac:dyDescent="0.3">
      <c r="A30" s="1">
        <v>33</v>
      </c>
      <c r="B30" s="1">
        <v>0.30499999999999999</v>
      </c>
      <c r="C30" s="5">
        <f t="shared" si="0"/>
        <v>0.30499999999999999</v>
      </c>
      <c r="D30" s="5">
        <f t="shared" si="1"/>
        <v>0.61</v>
      </c>
      <c r="E30" s="1">
        <v>5.48</v>
      </c>
      <c r="F30" s="1">
        <v>7.4</v>
      </c>
      <c r="G30" s="1">
        <v>3.14</v>
      </c>
      <c r="H30" s="1">
        <v>107</v>
      </c>
      <c r="I30" s="1">
        <v>7.0899999999999999E-4</v>
      </c>
      <c r="J30" s="1">
        <v>100</v>
      </c>
      <c r="K30" s="4"/>
    </row>
    <row r="31" spans="1:11" x14ac:dyDescent="0.3">
      <c r="A31" s="1">
        <v>35</v>
      </c>
      <c r="B31" s="1">
        <v>5.335</v>
      </c>
      <c r="C31" s="5">
        <f t="shared" si="0"/>
        <v>5.335</v>
      </c>
      <c r="D31" s="5">
        <f t="shared" si="1"/>
        <v>10.67</v>
      </c>
      <c r="E31" s="1">
        <v>18.27</v>
      </c>
      <c r="F31" s="1">
        <v>1.9</v>
      </c>
      <c r="G31" s="1">
        <v>3.14</v>
      </c>
      <c r="H31" s="1">
        <v>229</v>
      </c>
      <c r="I31" s="1">
        <v>0.998</v>
      </c>
      <c r="J31" s="1">
        <v>233</v>
      </c>
      <c r="K31" s="4" t="s">
        <v>24</v>
      </c>
    </row>
    <row r="32" spans="1:11" x14ac:dyDescent="0.3">
      <c r="A32" s="1">
        <v>37</v>
      </c>
      <c r="B32" s="1">
        <v>7.62</v>
      </c>
      <c r="C32" s="5">
        <f t="shared" si="0"/>
        <v>7.62</v>
      </c>
      <c r="D32" s="5">
        <f t="shared" si="1"/>
        <v>15.24</v>
      </c>
      <c r="E32" s="1">
        <v>6.01</v>
      </c>
      <c r="F32" s="1">
        <v>10</v>
      </c>
      <c r="G32" s="1">
        <v>3.14</v>
      </c>
      <c r="H32" s="1">
        <v>853</v>
      </c>
      <c r="I32" s="1">
        <v>5.1320999999999999E-2</v>
      </c>
      <c r="J32" s="1">
        <v>857</v>
      </c>
      <c r="K32" s="4"/>
    </row>
    <row r="33" spans="1:11" x14ac:dyDescent="0.3">
      <c r="A33" s="1">
        <v>38</v>
      </c>
      <c r="B33" s="1">
        <v>1.22</v>
      </c>
      <c r="C33" s="5">
        <f t="shared" si="0"/>
        <v>1.22</v>
      </c>
      <c r="D33" s="5">
        <f t="shared" si="1"/>
        <v>2.44</v>
      </c>
      <c r="E33" s="1">
        <v>0.96</v>
      </c>
      <c r="F33" s="1">
        <v>3.9</v>
      </c>
      <c r="G33" s="7">
        <v>3.14</v>
      </c>
      <c r="H33" s="1">
        <v>30</v>
      </c>
      <c r="I33" s="1">
        <v>1.7661E-2</v>
      </c>
      <c r="J33" s="1">
        <v>28</v>
      </c>
    </row>
    <row r="34" spans="1:11" x14ac:dyDescent="0.3">
      <c r="A34" s="1">
        <v>39</v>
      </c>
      <c r="B34" s="7">
        <v>1.22</v>
      </c>
      <c r="C34" s="5">
        <f t="shared" si="0"/>
        <v>1.22</v>
      </c>
      <c r="D34" s="5">
        <f t="shared" si="1"/>
        <v>2.44</v>
      </c>
      <c r="E34" s="1">
        <v>13.8</v>
      </c>
      <c r="F34" s="1">
        <v>7.6</v>
      </c>
      <c r="G34" s="7">
        <v>3.14</v>
      </c>
      <c r="H34" s="1">
        <v>64</v>
      </c>
      <c r="I34" s="1">
        <v>6.4343999999999998E-2</v>
      </c>
      <c r="J34" s="1">
        <v>59</v>
      </c>
      <c r="K34" s="4"/>
    </row>
    <row r="35" spans="1:11" x14ac:dyDescent="0.3">
      <c r="A35" s="1">
        <v>40</v>
      </c>
      <c r="B35" s="1">
        <v>8.3800000000000008</v>
      </c>
      <c r="C35" s="5">
        <f t="shared" si="0"/>
        <v>8.3800000000000008</v>
      </c>
      <c r="D35" s="5">
        <f t="shared" si="1"/>
        <v>16.760000000000002</v>
      </c>
      <c r="E35" s="1">
        <v>32.56</v>
      </c>
      <c r="F35" s="1">
        <v>9.82</v>
      </c>
      <c r="G35" s="1">
        <v>3.14</v>
      </c>
      <c r="H35" s="1">
        <v>244</v>
      </c>
      <c r="I35" s="1">
        <v>0.63878599999999996</v>
      </c>
      <c r="J35" s="1">
        <v>253</v>
      </c>
      <c r="K35" s="4" t="s">
        <v>32</v>
      </c>
    </row>
    <row r="36" spans="1:11" x14ac:dyDescent="0.3">
      <c r="A36" s="1">
        <v>41</v>
      </c>
      <c r="B36" s="1">
        <v>4.57</v>
      </c>
      <c r="C36" s="5">
        <f t="shared" si="0"/>
        <v>4.57</v>
      </c>
      <c r="D36" s="5">
        <f t="shared" si="1"/>
        <v>9.14</v>
      </c>
      <c r="E36" s="1">
        <v>15.6</v>
      </c>
      <c r="F36" s="1">
        <v>10.43</v>
      </c>
      <c r="G36" s="1">
        <v>3.14</v>
      </c>
      <c r="H36" s="1">
        <v>549</v>
      </c>
      <c r="I36" s="1">
        <v>5.2547999999999997E-2</v>
      </c>
      <c r="J36" s="1">
        <v>559</v>
      </c>
      <c r="K36" s="4"/>
    </row>
    <row r="37" spans="1:11" x14ac:dyDescent="0.3">
      <c r="A37" s="1">
        <v>42</v>
      </c>
      <c r="B37" s="1">
        <v>3.05</v>
      </c>
      <c r="C37" s="5">
        <f t="shared" si="0"/>
        <v>3.05</v>
      </c>
      <c r="D37" s="5">
        <f t="shared" si="1"/>
        <v>6.1</v>
      </c>
      <c r="E37" s="1">
        <v>9.23</v>
      </c>
      <c r="F37" s="1">
        <v>7.7</v>
      </c>
      <c r="G37" s="1">
        <v>3.14</v>
      </c>
      <c r="H37" s="1">
        <v>152</v>
      </c>
      <c r="I37" s="1">
        <v>8.1748000000000001E-2</v>
      </c>
      <c r="J37" s="1">
        <v>153</v>
      </c>
    </row>
    <row r="38" spans="1:11" x14ac:dyDescent="0.3">
      <c r="A38" s="1">
        <v>43</v>
      </c>
      <c r="B38" s="1">
        <v>1.83</v>
      </c>
      <c r="C38" s="5">
        <f t="shared" si="0"/>
        <v>1.83</v>
      </c>
      <c r="D38" s="5">
        <f t="shared" si="1"/>
        <v>3.66</v>
      </c>
      <c r="E38" s="1">
        <v>3.13</v>
      </c>
      <c r="F38" s="1">
        <v>8</v>
      </c>
      <c r="G38" s="1">
        <v>3.14</v>
      </c>
      <c r="H38" s="1">
        <v>96</v>
      </c>
      <c r="I38" s="1">
        <v>1.3771E-2</v>
      </c>
      <c r="J38" s="1">
        <v>106</v>
      </c>
    </row>
    <row r="39" spans="1:11" x14ac:dyDescent="0.3">
      <c r="A39" s="1">
        <v>44</v>
      </c>
      <c r="B39" s="1">
        <v>6</v>
      </c>
      <c r="C39" s="5">
        <f t="shared" si="0"/>
        <v>6</v>
      </c>
      <c r="D39" s="5">
        <f t="shared" si="1"/>
        <v>12</v>
      </c>
      <c r="E39" s="1">
        <v>7.0000000000000007E-2</v>
      </c>
      <c r="F39" s="1">
        <v>1</v>
      </c>
      <c r="G39" s="1">
        <v>3.17</v>
      </c>
      <c r="H39" s="1">
        <v>140</v>
      </c>
      <c r="I39" s="1">
        <v>3.9112000000000001E-2</v>
      </c>
      <c r="J39" s="1">
        <v>137</v>
      </c>
    </row>
    <row r="40" spans="1:11" x14ac:dyDescent="0.3">
      <c r="A40" s="1">
        <v>45</v>
      </c>
      <c r="B40" s="1">
        <v>6</v>
      </c>
      <c r="C40" s="5">
        <f t="shared" si="0"/>
        <v>6</v>
      </c>
      <c r="D40" s="5">
        <f t="shared" si="1"/>
        <v>12</v>
      </c>
      <c r="E40" s="1">
        <v>0.04</v>
      </c>
      <c r="F40" s="1">
        <v>1</v>
      </c>
      <c r="G40" s="1">
        <v>3.13</v>
      </c>
      <c r="H40" s="1">
        <v>90</v>
      </c>
      <c r="I40" s="1">
        <v>4.2946999999999999E-2</v>
      </c>
      <c r="J40" s="1">
        <v>91</v>
      </c>
    </row>
    <row r="41" spans="1:11" x14ac:dyDescent="0.3">
      <c r="A41" s="1">
        <v>46</v>
      </c>
      <c r="B41" s="1">
        <v>6</v>
      </c>
      <c r="C41" s="5">
        <f t="shared" si="0"/>
        <v>6</v>
      </c>
      <c r="D41" s="5">
        <f t="shared" si="1"/>
        <v>12</v>
      </c>
      <c r="E41" s="1">
        <v>1.3</v>
      </c>
      <c r="F41" s="1">
        <v>1</v>
      </c>
      <c r="G41" s="1">
        <v>3.17</v>
      </c>
      <c r="H41" s="1">
        <v>120</v>
      </c>
      <c r="I41" s="1">
        <v>0.44568000000000002</v>
      </c>
      <c r="J41" s="1">
        <v>119</v>
      </c>
      <c r="K41" s="4" t="s">
        <v>32</v>
      </c>
    </row>
    <row r="42" spans="1:11" x14ac:dyDescent="0.3">
      <c r="A42" s="1">
        <v>47</v>
      </c>
      <c r="B42" s="1">
        <v>6</v>
      </c>
      <c r="C42" s="5">
        <f t="shared" si="0"/>
        <v>6</v>
      </c>
      <c r="D42" s="5">
        <f t="shared" si="1"/>
        <v>12</v>
      </c>
      <c r="E42" s="1">
        <v>2.4</v>
      </c>
      <c r="F42" s="1">
        <v>2</v>
      </c>
      <c r="G42" s="1">
        <v>3.17</v>
      </c>
      <c r="H42" s="1">
        <v>90</v>
      </c>
      <c r="I42" s="1">
        <v>0.62978699999999999</v>
      </c>
      <c r="J42" s="1">
        <v>87</v>
      </c>
      <c r="K42" s="4" t="s">
        <v>24</v>
      </c>
    </row>
    <row r="43" spans="1:11" x14ac:dyDescent="0.3">
      <c r="A43" s="1">
        <v>48</v>
      </c>
      <c r="B43" s="1">
        <v>6</v>
      </c>
      <c r="C43" s="5">
        <f t="shared" si="0"/>
        <v>6</v>
      </c>
      <c r="D43" s="5">
        <f t="shared" si="1"/>
        <v>12</v>
      </c>
      <c r="E43" s="1">
        <v>1.4</v>
      </c>
      <c r="F43" s="1">
        <v>2</v>
      </c>
      <c r="G43" s="1">
        <v>3.17</v>
      </c>
      <c r="H43" s="1">
        <v>60</v>
      </c>
      <c r="I43" s="1">
        <v>0.50704899999999997</v>
      </c>
      <c r="J43" s="1">
        <v>69</v>
      </c>
      <c r="K43" s="4" t="s">
        <v>32</v>
      </c>
    </row>
    <row r="44" spans="1:11" x14ac:dyDescent="0.3">
      <c r="A44" s="1">
        <v>49</v>
      </c>
      <c r="B44" s="1">
        <v>6</v>
      </c>
      <c r="C44" s="5">
        <f t="shared" si="0"/>
        <v>6</v>
      </c>
      <c r="D44" s="5">
        <f t="shared" si="1"/>
        <v>12</v>
      </c>
      <c r="E44" s="1">
        <v>0.7</v>
      </c>
      <c r="F44" s="1">
        <v>2</v>
      </c>
      <c r="G44" s="1">
        <v>3.17</v>
      </c>
      <c r="H44" s="1">
        <v>90</v>
      </c>
      <c r="I44" s="1">
        <v>0.20020499999999999</v>
      </c>
      <c r="J44" s="1">
        <v>84</v>
      </c>
      <c r="K44" s="4" t="s">
        <v>32</v>
      </c>
    </row>
    <row r="45" spans="1:11" x14ac:dyDescent="0.3">
      <c r="A45" s="1">
        <v>52</v>
      </c>
      <c r="B45" s="1">
        <v>7.5</v>
      </c>
      <c r="C45" s="5">
        <f t="shared" si="0"/>
        <v>7.5</v>
      </c>
      <c r="D45" s="5">
        <f t="shared" si="1"/>
        <v>15</v>
      </c>
      <c r="E45" s="1">
        <v>0.31</v>
      </c>
      <c r="F45" s="1">
        <v>1</v>
      </c>
      <c r="G45" s="1">
        <v>3.14</v>
      </c>
      <c r="H45" s="1">
        <v>160</v>
      </c>
      <c r="I45" s="1">
        <v>0.12989999999999999</v>
      </c>
      <c r="J45" s="1">
        <v>156</v>
      </c>
      <c r="K45" s="4" t="s">
        <v>32</v>
      </c>
    </row>
    <row r="46" spans="1:11" x14ac:dyDescent="0.3">
      <c r="A46" s="1">
        <v>54</v>
      </c>
      <c r="B46" s="1">
        <v>5.5</v>
      </c>
      <c r="C46" s="5">
        <f t="shared" si="0"/>
        <v>5.5</v>
      </c>
      <c r="D46" s="5">
        <f t="shared" si="1"/>
        <v>11</v>
      </c>
      <c r="E46" s="1">
        <v>33</v>
      </c>
      <c r="F46" s="1">
        <v>7.5</v>
      </c>
      <c r="G46" s="1">
        <v>3.14</v>
      </c>
      <c r="H46" s="1">
        <v>250</v>
      </c>
      <c r="I46" s="1">
        <v>0.44568000000000002</v>
      </c>
      <c r="J46" s="1">
        <v>257</v>
      </c>
      <c r="K46" s="4" t="s">
        <v>32</v>
      </c>
    </row>
    <row r="47" spans="1:11" x14ac:dyDescent="0.3">
      <c r="A47" s="1">
        <v>57</v>
      </c>
      <c r="B47" s="1">
        <v>5</v>
      </c>
      <c r="C47" s="5">
        <f t="shared" si="0"/>
        <v>5</v>
      </c>
      <c r="D47" s="5">
        <f t="shared" si="1"/>
        <v>10</v>
      </c>
      <c r="E47" s="1">
        <v>0.01</v>
      </c>
      <c r="F47" s="1">
        <v>4</v>
      </c>
      <c r="G47" s="1">
        <v>3.08</v>
      </c>
      <c r="H47" s="1">
        <v>100</v>
      </c>
      <c r="I47" s="1">
        <v>2.3769999999999999E-2</v>
      </c>
      <c r="J47" s="1">
        <v>91</v>
      </c>
    </row>
    <row r="48" spans="1:11" x14ac:dyDescent="0.3">
      <c r="A48" s="1">
        <v>61</v>
      </c>
      <c r="B48" s="1">
        <v>1.5</v>
      </c>
      <c r="C48" s="5">
        <f t="shared" si="0"/>
        <v>1.5</v>
      </c>
      <c r="D48" s="5">
        <f t="shared" si="1"/>
        <v>3</v>
      </c>
      <c r="E48" s="1">
        <v>8.9</v>
      </c>
      <c r="F48" s="1">
        <v>0.99</v>
      </c>
      <c r="G48" s="1">
        <v>3.14</v>
      </c>
      <c r="H48" s="1">
        <v>250</v>
      </c>
      <c r="I48" s="1">
        <v>0.118807</v>
      </c>
      <c r="J48" s="1">
        <v>250</v>
      </c>
      <c r="K48" s="4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workbookViewId="0">
      <selection activeCell="C59" sqref="C59"/>
    </sheetView>
  </sheetViews>
  <sheetFormatPr defaultRowHeight="14.4" x14ac:dyDescent="0.3"/>
  <cols>
    <col min="4" max="4" width="19" customWidth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</row>
    <row r="2" spans="1:10" x14ac:dyDescent="0.3">
      <c r="A2" s="1">
        <v>1</v>
      </c>
      <c r="B2" s="1">
        <v>4.5720000000000001</v>
      </c>
      <c r="C2" s="5">
        <f t="shared" ref="C2:C20" si="0">0.1*B2</f>
        <v>0.45720000000000005</v>
      </c>
      <c r="D2" s="5">
        <f t="shared" ref="D2:D20" si="1">2*C2</f>
        <v>0.9144000000000001</v>
      </c>
      <c r="E2" s="1">
        <v>3.55</v>
      </c>
      <c r="F2" s="1">
        <v>37.67</v>
      </c>
      <c r="G2" s="1">
        <v>4.477132997</v>
      </c>
      <c r="H2" s="1">
        <v>274.32</v>
      </c>
      <c r="I2" s="1">
        <v>1E-4</v>
      </c>
      <c r="J2" s="1">
        <v>265</v>
      </c>
    </row>
    <row r="3" spans="1:10" x14ac:dyDescent="0.3">
      <c r="A3" s="1">
        <v>4</v>
      </c>
      <c r="B3" s="1">
        <v>3.048</v>
      </c>
      <c r="C3" s="5">
        <f t="shared" si="0"/>
        <v>0.30480000000000002</v>
      </c>
      <c r="D3" s="5">
        <f t="shared" si="1"/>
        <v>0.60960000000000003</v>
      </c>
      <c r="E3" s="1">
        <v>43.28</v>
      </c>
      <c r="F3" s="1">
        <v>103.4</v>
      </c>
      <c r="G3" s="1">
        <v>4.6659477760000003</v>
      </c>
      <c r="H3" s="1">
        <v>213.36</v>
      </c>
      <c r="I3" s="1">
        <v>2.8299999999999999E-4</v>
      </c>
      <c r="J3" s="1">
        <v>204</v>
      </c>
    </row>
    <row r="4" spans="1:10" x14ac:dyDescent="0.3">
      <c r="A4" s="1">
        <v>6</v>
      </c>
      <c r="B4" s="1">
        <v>3.81</v>
      </c>
      <c r="C4" s="5">
        <f t="shared" si="0"/>
        <v>0.38100000000000001</v>
      </c>
      <c r="D4" s="5">
        <f t="shared" si="1"/>
        <v>0.76200000000000001</v>
      </c>
      <c r="E4" s="1">
        <v>4.03</v>
      </c>
      <c r="F4" s="1">
        <v>35.049999999999997</v>
      </c>
      <c r="G4" s="1">
        <v>4.584194009</v>
      </c>
      <c r="H4" s="1">
        <v>91.44</v>
      </c>
      <c r="I4" s="1">
        <v>3.4400000000000001E-4</v>
      </c>
      <c r="J4" s="1">
        <v>91</v>
      </c>
    </row>
    <row r="5" spans="1:10" x14ac:dyDescent="0.3">
      <c r="A5" s="1">
        <v>14</v>
      </c>
      <c r="B5" s="1">
        <v>3.81</v>
      </c>
      <c r="C5" s="5">
        <f t="shared" si="0"/>
        <v>0.38100000000000001</v>
      </c>
      <c r="D5" s="5">
        <f t="shared" si="1"/>
        <v>0.76200000000000001</v>
      </c>
      <c r="E5" s="1">
        <v>8.18</v>
      </c>
      <c r="F5" s="1">
        <v>23.9</v>
      </c>
      <c r="G5" s="1">
        <v>4.2098326359999998</v>
      </c>
      <c r="H5" s="1">
        <v>219.45599999999999</v>
      </c>
      <c r="I5" s="1">
        <v>2.8299999999999999E-4</v>
      </c>
      <c r="J5" s="1">
        <v>228</v>
      </c>
    </row>
    <row r="6" spans="1:10" x14ac:dyDescent="0.3">
      <c r="A6" s="1">
        <v>16</v>
      </c>
      <c r="B6" s="1">
        <v>3.048</v>
      </c>
      <c r="C6" s="5">
        <f t="shared" si="0"/>
        <v>0.30480000000000002</v>
      </c>
      <c r="D6" s="5">
        <f t="shared" si="1"/>
        <v>0.60960000000000003</v>
      </c>
      <c r="E6" s="1">
        <v>13.118</v>
      </c>
      <c r="F6" s="1">
        <v>77.8</v>
      </c>
      <c r="G6" s="1">
        <v>4.5751233930000001</v>
      </c>
      <c r="H6" s="1">
        <v>53.34</v>
      </c>
      <c r="I6" s="1" t="s">
        <v>16</v>
      </c>
      <c r="J6" s="1">
        <v>47</v>
      </c>
    </row>
    <row r="7" spans="1:10" x14ac:dyDescent="0.3">
      <c r="A7" s="1">
        <v>17</v>
      </c>
      <c r="B7" s="1">
        <v>2.286</v>
      </c>
      <c r="C7" s="5">
        <f t="shared" si="0"/>
        <v>0.22860000000000003</v>
      </c>
      <c r="D7" s="5">
        <f t="shared" si="1"/>
        <v>0.45720000000000005</v>
      </c>
      <c r="E7" s="1">
        <v>84.9</v>
      </c>
      <c r="F7" s="1">
        <v>97.662999999999997</v>
      </c>
      <c r="G7" s="1">
        <v>4.5985767380000002</v>
      </c>
      <c r="H7" s="1">
        <v>128.01599999999999</v>
      </c>
      <c r="I7" s="1">
        <v>5.8699999999999996E-4</v>
      </c>
      <c r="J7" s="1">
        <v>119</v>
      </c>
    </row>
    <row r="8" spans="1:10" x14ac:dyDescent="0.3">
      <c r="A8" s="1">
        <v>19</v>
      </c>
      <c r="B8" s="1">
        <v>4.5739999999999998</v>
      </c>
      <c r="C8" s="5">
        <f t="shared" si="0"/>
        <v>0.45740000000000003</v>
      </c>
      <c r="D8" s="5">
        <f t="shared" si="1"/>
        <v>0.91480000000000006</v>
      </c>
      <c r="E8" s="1">
        <v>49.3</v>
      </c>
      <c r="F8" s="1">
        <v>107.76</v>
      </c>
      <c r="G8" s="1">
        <v>4.6535913139999998</v>
      </c>
      <c r="H8" s="1">
        <v>192.024</v>
      </c>
      <c r="I8" s="1">
        <v>7.0899999999999999E-4</v>
      </c>
      <c r="J8" s="1">
        <v>192</v>
      </c>
    </row>
    <row r="9" spans="1:10" x14ac:dyDescent="0.3">
      <c r="A9" s="1">
        <v>20</v>
      </c>
      <c r="B9" s="1">
        <v>1.524</v>
      </c>
      <c r="C9" s="5">
        <f t="shared" si="0"/>
        <v>0.15240000000000001</v>
      </c>
      <c r="D9" s="5">
        <f t="shared" si="1"/>
        <v>0.30480000000000002</v>
      </c>
      <c r="E9" s="1">
        <v>90.21</v>
      </c>
      <c r="F9" s="1">
        <v>90.19</v>
      </c>
      <c r="G9" s="1">
        <v>4.6657567359999996</v>
      </c>
      <c r="H9" s="1">
        <v>60.96</v>
      </c>
      <c r="I9" s="1">
        <v>5.8699999999999996E-4</v>
      </c>
      <c r="J9" s="1">
        <v>68</v>
      </c>
    </row>
    <row r="10" spans="1:10" x14ac:dyDescent="0.3">
      <c r="A10" s="1">
        <v>22</v>
      </c>
      <c r="B10" s="1">
        <v>2.286</v>
      </c>
      <c r="C10" s="5">
        <f t="shared" si="0"/>
        <v>0.22860000000000003</v>
      </c>
      <c r="D10" s="5">
        <f t="shared" si="1"/>
        <v>0.45720000000000005</v>
      </c>
      <c r="E10" s="1">
        <v>20.95</v>
      </c>
      <c r="F10" s="1">
        <v>25.72</v>
      </c>
      <c r="G10" s="1">
        <v>4.2883359250000002</v>
      </c>
      <c r="H10" s="1">
        <v>106.68</v>
      </c>
      <c r="I10" s="1">
        <v>5.8699999999999996E-4</v>
      </c>
      <c r="J10" s="1">
        <v>106</v>
      </c>
    </row>
    <row r="11" spans="1:10" x14ac:dyDescent="0.3">
      <c r="A11" s="1">
        <v>26</v>
      </c>
      <c r="B11" s="1">
        <v>4.2671999999999999</v>
      </c>
      <c r="C11" s="5">
        <f t="shared" si="0"/>
        <v>0.42671999999999999</v>
      </c>
      <c r="D11" s="5">
        <f t="shared" si="1"/>
        <v>0.85343999999999998</v>
      </c>
      <c r="E11" s="1">
        <v>25.4</v>
      </c>
      <c r="F11" s="1">
        <v>24.5</v>
      </c>
      <c r="G11" s="1">
        <v>4.4513061220000001</v>
      </c>
      <c r="H11" s="1">
        <v>71.3232</v>
      </c>
      <c r="I11" s="1">
        <v>3.9979999999999998E-3</v>
      </c>
      <c r="J11" s="1">
        <v>76</v>
      </c>
    </row>
    <row r="12" spans="1:10" x14ac:dyDescent="0.3">
      <c r="A12" s="1">
        <v>31</v>
      </c>
      <c r="B12" s="1">
        <v>4.57</v>
      </c>
      <c r="C12" s="5">
        <f t="shared" si="0"/>
        <v>0.45700000000000007</v>
      </c>
      <c r="D12" s="5">
        <f t="shared" si="1"/>
        <v>0.91400000000000015</v>
      </c>
      <c r="E12" s="1">
        <v>9.23</v>
      </c>
      <c r="F12" s="1">
        <v>14.71</v>
      </c>
      <c r="G12" s="1">
        <v>4.5438341260000001</v>
      </c>
      <c r="H12" s="1">
        <v>366</v>
      </c>
      <c r="I12" s="1">
        <v>4.9600000000000002E-4</v>
      </c>
      <c r="J12" s="1">
        <v>362</v>
      </c>
    </row>
    <row r="13" spans="1:10" x14ac:dyDescent="0.3">
      <c r="A13" s="1">
        <v>32</v>
      </c>
      <c r="B13" s="1">
        <v>3.05</v>
      </c>
      <c r="C13" s="5">
        <f t="shared" si="0"/>
        <v>0.30499999999999999</v>
      </c>
      <c r="D13" s="5">
        <f t="shared" si="1"/>
        <v>0.61</v>
      </c>
      <c r="E13" s="1">
        <v>2.84</v>
      </c>
      <c r="F13" s="1">
        <v>24.6</v>
      </c>
      <c r="G13" s="1">
        <v>4.9722764230000003</v>
      </c>
      <c r="H13" s="1">
        <v>168</v>
      </c>
      <c r="I13" s="1">
        <v>1.15E-4</v>
      </c>
      <c r="J13" s="1">
        <v>159</v>
      </c>
    </row>
    <row r="14" spans="1:10" x14ac:dyDescent="0.3">
      <c r="A14" s="1">
        <v>34</v>
      </c>
      <c r="B14" s="1">
        <v>1.5249999999999999</v>
      </c>
      <c r="C14" s="5">
        <f t="shared" si="0"/>
        <v>0.1525</v>
      </c>
      <c r="D14" s="5">
        <f t="shared" si="1"/>
        <v>0.30499999999999999</v>
      </c>
      <c r="E14" s="1">
        <v>48.65</v>
      </c>
      <c r="F14" s="1">
        <v>47.59</v>
      </c>
      <c r="G14" s="1">
        <v>5.9281130490000002</v>
      </c>
      <c r="H14" s="1">
        <v>85</v>
      </c>
      <c r="I14" s="1">
        <v>5.8699999999999996E-4</v>
      </c>
      <c r="J14" s="1">
        <v>91</v>
      </c>
    </row>
    <row r="15" spans="1:10" x14ac:dyDescent="0.3">
      <c r="A15" s="1">
        <v>36</v>
      </c>
      <c r="B15" s="1">
        <v>4.57</v>
      </c>
      <c r="C15" s="5">
        <f t="shared" si="0"/>
        <v>0.45700000000000007</v>
      </c>
      <c r="D15" s="5">
        <f t="shared" si="1"/>
        <v>0.91400000000000015</v>
      </c>
      <c r="E15" s="1">
        <v>3.23</v>
      </c>
      <c r="F15" s="1">
        <v>41.2</v>
      </c>
      <c r="G15" s="1">
        <v>8.0795631070000002</v>
      </c>
      <c r="H15" s="1">
        <v>198</v>
      </c>
      <c r="I15" s="1">
        <v>2.22E-4</v>
      </c>
      <c r="J15" s="1">
        <v>208</v>
      </c>
    </row>
    <row r="16" spans="1:10" x14ac:dyDescent="0.3">
      <c r="A16" s="1">
        <v>40</v>
      </c>
      <c r="B16" s="1">
        <v>8.3800000000000008</v>
      </c>
      <c r="C16" s="5">
        <f t="shared" si="0"/>
        <v>0.83800000000000008</v>
      </c>
      <c r="D16" s="5">
        <f t="shared" si="1"/>
        <v>1.6760000000000002</v>
      </c>
      <c r="E16" s="1">
        <v>32.56</v>
      </c>
      <c r="F16" s="1">
        <v>25.97</v>
      </c>
      <c r="G16" s="1">
        <v>4.1008058180000004</v>
      </c>
      <c r="H16" s="1">
        <v>244</v>
      </c>
      <c r="I16" s="1">
        <v>4.5310000000000003E-3</v>
      </c>
      <c r="J16" s="1">
        <v>247</v>
      </c>
    </row>
    <row r="17" spans="1:10" x14ac:dyDescent="0.3">
      <c r="A17" s="1">
        <v>41</v>
      </c>
      <c r="B17" s="1">
        <v>4.57</v>
      </c>
      <c r="C17" s="5">
        <f t="shared" si="0"/>
        <v>0.45700000000000007</v>
      </c>
      <c r="D17" s="5">
        <f t="shared" si="1"/>
        <v>0.91400000000000015</v>
      </c>
      <c r="E17" s="1">
        <v>15.6</v>
      </c>
      <c r="F17" s="1">
        <v>25.44</v>
      </c>
      <c r="G17" s="1">
        <v>4.1008058180000004</v>
      </c>
      <c r="H17" s="1">
        <v>549</v>
      </c>
      <c r="I17" s="1">
        <v>2.8299999999999999E-4</v>
      </c>
      <c r="J17" s="1">
        <v>543</v>
      </c>
    </row>
    <row r="18" spans="1:10" x14ac:dyDescent="0.3">
      <c r="A18" s="1">
        <v>42</v>
      </c>
      <c r="B18" s="1">
        <v>3.05</v>
      </c>
      <c r="C18" s="5">
        <f t="shared" si="0"/>
        <v>0.30499999999999999</v>
      </c>
      <c r="D18" s="5">
        <f t="shared" si="1"/>
        <v>0.61</v>
      </c>
      <c r="E18" s="1">
        <v>9.23</v>
      </c>
      <c r="F18" s="1">
        <v>17.14</v>
      </c>
      <c r="G18" s="1">
        <v>4.0302742120000001</v>
      </c>
      <c r="H18" s="1">
        <v>152</v>
      </c>
      <c r="I18" s="1">
        <v>4.0499999999999998E-4</v>
      </c>
      <c r="J18" s="1">
        <v>159</v>
      </c>
    </row>
    <row r="19" spans="1:10" x14ac:dyDescent="0.3">
      <c r="A19" s="1">
        <v>54</v>
      </c>
      <c r="B19" s="1">
        <v>5.5</v>
      </c>
      <c r="C19" s="5">
        <f t="shared" si="0"/>
        <v>0.55000000000000004</v>
      </c>
      <c r="D19" s="5">
        <f t="shared" si="1"/>
        <v>1.1000000000000001</v>
      </c>
      <c r="E19" s="1">
        <v>33</v>
      </c>
      <c r="F19" s="1">
        <v>25</v>
      </c>
      <c r="G19" s="1">
        <v>4.2590000000000003</v>
      </c>
      <c r="H19" s="1">
        <v>250</v>
      </c>
      <c r="I19" s="1">
        <v>2.0999999999999999E-3</v>
      </c>
      <c r="J19" s="1">
        <v>254</v>
      </c>
    </row>
    <row r="20" spans="1:10" x14ac:dyDescent="0.3">
      <c r="A20" s="1">
        <v>55</v>
      </c>
      <c r="B20" s="1">
        <v>3.7</v>
      </c>
      <c r="C20" s="5">
        <f t="shared" si="0"/>
        <v>0.37000000000000005</v>
      </c>
      <c r="D20" s="5">
        <f t="shared" si="1"/>
        <v>0.7400000000000001</v>
      </c>
      <c r="E20" s="1">
        <v>123</v>
      </c>
      <c r="F20" s="1">
        <v>1402.6</v>
      </c>
      <c r="G20" s="1">
        <v>8.4875000000000007</v>
      </c>
      <c r="H20" s="1">
        <v>200</v>
      </c>
      <c r="I20" s="1">
        <v>1.9100000000000001E-4</v>
      </c>
      <c r="J20" s="1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"/>
  <sheetViews>
    <sheetView topLeftCell="A13" zoomScale="115" zoomScaleNormal="115" workbookViewId="0">
      <selection activeCell="A25" sqref="A25:XFD63"/>
    </sheetView>
  </sheetViews>
  <sheetFormatPr defaultRowHeight="14.4" x14ac:dyDescent="0.3"/>
  <cols>
    <col min="4" max="4" width="18.5546875" customWidth="1"/>
    <col min="7" max="7" width="14.332031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</row>
    <row r="2" spans="1:10" x14ac:dyDescent="0.3">
      <c r="A2" s="1">
        <v>2</v>
      </c>
      <c r="B2" s="1">
        <v>1.524</v>
      </c>
      <c r="C2" s="5">
        <f t="shared" ref="C2:C22" si="0">0.2*B2</f>
        <v>0.30480000000000002</v>
      </c>
      <c r="D2" s="5">
        <f t="shared" ref="D2:D22" si="1">2*C2</f>
        <v>0.60960000000000003</v>
      </c>
      <c r="E2" s="1">
        <v>28</v>
      </c>
      <c r="F2" s="1">
        <v>106.35</v>
      </c>
      <c r="G2" s="1">
        <v>4.6467418900000004</v>
      </c>
      <c r="H2" s="1">
        <v>228.6</v>
      </c>
      <c r="I2" s="1">
        <v>1.6100000000000001E-4</v>
      </c>
      <c r="J2" s="1">
        <v>236</v>
      </c>
    </row>
    <row r="3" spans="1:10" x14ac:dyDescent="0.3">
      <c r="A3" s="1">
        <v>5</v>
      </c>
      <c r="B3" s="1">
        <v>1.524</v>
      </c>
      <c r="C3" s="5">
        <f t="shared" si="0"/>
        <v>0.30480000000000002</v>
      </c>
      <c r="D3" s="5">
        <f t="shared" si="1"/>
        <v>0.60960000000000003</v>
      </c>
      <c r="E3" s="1">
        <v>5.26</v>
      </c>
      <c r="F3" s="1">
        <v>19.79</v>
      </c>
      <c r="G3" s="1">
        <v>3.9056695299999999</v>
      </c>
      <c r="H3" s="1">
        <v>259.08</v>
      </c>
      <c r="I3" s="1">
        <v>1.2300000000000001E-4</v>
      </c>
      <c r="J3" s="1">
        <v>264</v>
      </c>
    </row>
    <row r="4" spans="1:10" x14ac:dyDescent="0.3">
      <c r="A4" s="1">
        <v>8</v>
      </c>
      <c r="B4" s="1">
        <v>1.524</v>
      </c>
      <c r="C4" s="5">
        <f t="shared" si="0"/>
        <v>0.30480000000000002</v>
      </c>
      <c r="D4" s="5">
        <f t="shared" si="1"/>
        <v>0.60960000000000003</v>
      </c>
      <c r="E4" s="1">
        <v>29.64</v>
      </c>
      <c r="F4" s="1">
        <v>113.77</v>
      </c>
      <c r="G4" s="11">
        <v>4.7059998240000001</v>
      </c>
      <c r="H4" s="1">
        <v>76.2</v>
      </c>
      <c r="I4" s="1">
        <v>5.8699999999999996E-4</v>
      </c>
      <c r="J4" s="1">
        <v>71</v>
      </c>
    </row>
    <row r="5" spans="1:10" x14ac:dyDescent="0.3">
      <c r="A5" s="1">
        <v>13</v>
      </c>
      <c r="B5" s="1">
        <v>1.524</v>
      </c>
      <c r="C5" s="5">
        <f t="shared" si="0"/>
        <v>0.30480000000000002</v>
      </c>
      <c r="D5" s="5">
        <f t="shared" si="1"/>
        <v>0.60960000000000003</v>
      </c>
      <c r="E5" s="1">
        <v>12.84</v>
      </c>
      <c r="F5" s="1">
        <v>29.26</v>
      </c>
      <c r="G5" s="1">
        <v>4.4282638409999997</v>
      </c>
      <c r="H5" s="1">
        <v>109.72799999999999</v>
      </c>
      <c r="I5" s="1">
        <v>5.8699999999999996E-4</v>
      </c>
      <c r="J5" s="1">
        <v>103</v>
      </c>
    </row>
    <row r="6" spans="1:10" x14ac:dyDescent="0.3">
      <c r="A6" s="1">
        <v>15</v>
      </c>
      <c r="B6" s="1">
        <v>1.524</v>
      </c>
      <c r="C6" s="5">
        <f t="shared" si="0"/>
        <v>0.30480000000000002</v>
      </c>
      <c r="D6" s="5">
        <f t="shared" si="1"/>
        <v>0.60960000000000003</v>
      </c>
      <c r="E6" s="1">
        <v>13.8</v>
      </c>
      <c r="F6" s="1">
        <v>57.76</v>
      </c>
      <c r="G6" s="1">
        <v>4.5061634350000004</v>
      </c>
      <c r="H6" s="1">
        <v>96.012</v>
      </c>
      <c r="I6" s="1">
        <v>3.4400000000000001E-4</v>
      </c>
      <c r="J6" s="1">
        <v>103</v>
      </c>
    </row>
    <row r="7" spans="1:10" x14ac:dyDescent="0.3">
      <c r="A7" s="1">
        <v>16</v>
      </c>
      <c r="B7" s="1">
        <v>3.048</v>
      </c>
      <c r="C7" s="5">
        <f t="shared" si="0"/>
        <v>0.60960000000000003</v>
      </c>
      <c r="D7" s="5">
        <f t="shared" si="1"/>
        <v>1.2192000000000001</v>
      </c>
      <c r="E7" s="1">
        <v>13.118</v>
      </c>
      <c r="F7" s="1">
        <v>77.8</v>
      </c>
      <c r="G7" s="1">
        <v>4.5751233930000001</v>
      </c>
      <c r="H7" s="1">
        <v>53.34</v>
      </c>
      <c r="I7" s="1">
        <v>2.0999999999999999E-3</v>
      </c>
      <c r="J7" s="1">
        <v>52</v>
      </c>
    </row>
    <row r="8" spans="1:10" x14ac:dyDescent="0.3">
      <c r="A8" s="1">
        <v>17</v>
      </c>
      <c r="B8" s="1">
        <v>2.286</v>
      </c>
      <c r="C8" s="5">
        <f t="shared" si="0"/>
        <v>0.45720000000000005</v>
      </c>
      <c r="D8" s="5">
        <f t="shared" si="1"/>
        <v>0.9144000000000001</v>
      </c>
      <c r="E8" s="1">
        <v>84.9</v>
      </c>
      <c r="F8" s="1">
        <v>97.662999999999997</v>
      </c>
      <c r="G8" s="1">
        <v>4.5985767380000002</v>
      </c>
      <c r="H8" s="1">
        <v>128.01599999999999</v>
      </c>
      <c r="I8" s="1">
        <v>2.049E-3</v>
      </c>
      <c r="J8" s="1">
        <v>134</v>
      </c>
    </row>
    <row r="9" spans="1:10" x14ac:dyDescent="0.3">
      <c r="A9" s="1">
        <v>19</v>
      </c>
      <c r="B9" s="1">
        <v>4.5720000000000001</v>
      </c>
      <c r="C9" s="5">
        <f t="shared" si="0"/>
        <v>0.9144000000000001</v>
      </c>
      <c r="D9" s="5">
        <f t="shared" si="1"/>
        <v>1.8288000000000002</v>
      </c>
      <c r="E9" s="1">
        <v>49.3</v>
      </c>
      <c r="F9" s="1">
        <v>107.76</v>
      </c>
      <c r="G9" s="1">
        <v>4.6535913139999998</v>
      </c>
      <c r="H9" s="1">
        <v>192.024</v>
      </c>
      <c r="I9" s="1">
        <v>2.8289999999999999E-3</v>
      </c>
      <c r="J9" s="1">
        <v>197</v>
      </c>
    </row>
    <row r="10" spans="1:10" x14ac:dyDescent="0.3">
      <c r="A10" s="1">
        <v>20</v>
      </c>
      <c r="B10" s="1">
        <v>1.524</v>
      </c>
      <c r="C10" s="5">
        <f t="shared" si="0"/>
        <v>0.30480000000000002</v>
      </c>
      <c r="D10" s="5">
        <f t="shared" si="1"/>
        <v>0.60960000000000003</v>
      </c>
      <c r="E10" s="1">
        <v>90.21</v>
      </c>
      <c r="F10" s="1">
        <v>90.19</v>
      </c>
      <c r="G10" s="1">
        <v>4.6657567359999996</v>
      </c>
      <c r="H10" s="1">
        <v>60.96</v>
      </c>
      <c r="I10" s="1">
        <v>3.0240000000000002E-3</v>
      </c>
      <c r="J10" s="1">
        <v>55</v>
      </c>
    </row>
    <row r="11" spans="1:10" x14ac:dyDescent="0.3">
      <c r="A11" s="1">
        <v>22</v>
      </c>
      <c r="B11" s="1">
        <v>2.286</v>
      </c>
      <c r="C11" s="5">
        <f t="shared" si="0"/>
        <v>0.45720000000000005</v>
      </c>
      <c r="D11" s="5">
        <f t="shared" si="1"/>
        <v>0.9144000000000001</v>
      </c>
      <c r="E11" s="1">
        <v>20.95</v>
      </c>
      <c r="F11" s="1">
        <v>25.72</v>
      </c>
      <c r="G11" s="1">
        <v>4.2883359250000002</v>
      </c>
      <c r="H11" s="1">
        <v>106.68</v>
      </c>
      <c r="I11" s="1">
        <v>2.5360000000000001E-3</v>
      </c>
      <c r="J11" s="1">
        <v>99</v>
      </c>
    </row>
    <row r="12" spans="1:10" x14ac:dyDescent="0.3">
      <c r="A12" s="1">
        <v>26</v>
      </c>
      <c r="B12" s="1">
        <v>4.2671999999999999</v>
      </c>
      <c r="C12" s="5">
        <f t="shared" si="0"/>
        <v>0.85343999999999998</v>
      </c>
      <c r="D12" s="5">
        <f t="shared" si="1"/>
        <v>1.70688</v>
      </c>
      <c r="E12" s="1">
        <v>25.4</v>
      </c>
      <c r="F12" s="1">
        <v>24.5</v>
      </c>
      <c r="G12" s="1">
        <v>4.4513061220000001</v>
      </c>
      <c r="H12" s="1">
        <v>71.3232</v>
      </c>
      <c r="I12" s="1">
        <v>1.7661E-2</v>
      </c>
      <c r="J12" s="1">
        <v>73</v>
      </c>
    </row>
    <row r="13" spans="1:10" x14ac:dyDescent="0.3">
      <c r="A13" s="1">
        <v>29</v>
      </c>
      <c r="B13" s="1">
        <v>1.0669999999999999</v>
      </c>
      <c r="C13" s="5">
        <f t="shared" si="0"/>
        <v>0.21340000000000001</v>
      </c>
      <c r="D13" s="5">
        <f t="shared" si="1"/>
        <v>0.42680000000000001</v>
      </c>
      <c r="E13" s="1">
        <v>3.57</v>
      </c>
      <c r="F13" s="1">
        <v>3.88</v>
      </c>
      <c r="G13" s="1">
        <v>5.5311855669999996</v>
      </c>
      <c r="H13" s="1">
        <v>57.302399999999999</v>
      </c>
      <c r="I13" s="1">
        <v>1.562E-3</v>
      </c>
      <c r="J13" s="1">
        <v>57</v>
      </c>
    </row>
    <row r="14" spans="1:10" x14ac:dyDescent="0.3">
      <c r="A14" s="1">
        <v>30</v>
      </c>
      <c r="B14" s="1">
        <v>2.5249999999999999</v>
      </c>
      <c r="C14" s="5">
        <f t="shared" si="0"/>
        <v>0.505</v>
      </c>
      <c r="D14" s="5">
        <f t="shared" si="1"/>
        <v>1.01</v>
      </c>
      <c r="E14" s="1">
        <v>5.22</v>
      </c>
      <c r="F14" s="1">
        <v>27.61</v>
      </c>
      <c r="G14" s="1">
        <v>4.467656646</v>
      </c>
      <c r="H14" s="1">
        <v>152</v>
      </c>
      <c r="I14" s="1">
        <v>1.9100000000000001E-4</v>
      </c>
      <c r="J14" s="1">
        <v>144</v>
      </c>
    </row>
    <row r="15" spans="1:10" x14ac:dyDescent="0.3">
      <c r="A15" s="1">
        <v>34</v>
      </c>
      <c r="B15" s="1">
        <v>1.5249999999999999</v>
      </c>
      <c r="C15" s="5">
        <f t="shared" si="0"/>
        <v>0.30499999999999999</v>
      </c>
      <c r="D15" s="5">
        <f t="shared" si="1"/>
        <v>0.61</v>
      </c>
      <c r="E15" s="1">
        <v>48.65</v>
      </c>
      <c r="F15" s="1">
        <v>47.59</v>
      </c>
      <c r="G15" s="1">
        <v>5.9281130490000002</v>
      </c>
      <c r="H15" s="1">
        <v>85</v>
      </c>
      <c r="I15" s="1">
        <v>2.5360000000000001E-3</v>
      </c>
      <c r="J15" s="1">
        <v>84</v>
      </c>
    </row>
    <row r="16" spans="1:10" x14ac:dyDescent="0.3">
      <c r="A16" s="1">
        <v>35</v>
      </c>
      <c r="B16" s="1">
        <v>5.335</v>
      </c>
      <c r="C16" s="5">
        <f t="shared" si="0"/>
        <v>1.0669999999999999</v>
      </c>
      <c r="D16" s="5">
        <f t="shared" si="1"/>
        <v>2.1339999999999999</v>
      </c>
      <c r="E16" s="1">
        <v>18.27</v>
      </c>
      <c r="F16" s="1">
        <v>25.45</v>
      </c>
      <c r="G16" s="1">
        <v>5.9700982319999998</v>
      </c>
      <c r="H16" s="1">
        <v>229</v>
      </c>
      <c r="I16" s="1">
        <v>6.9629999999999996E-3</v>
      </c>
      <c r="J16" s="1">
        <v>222</v>
      </c>
    </row>
    <row r="17" spans="1:10" x14ac:dyDescent="0.3">
      <c r="A17" s="1">
        <v>39</v>
      </c>
      <c r="B17" s="1">
        <v>1.22</v>
      </c>
      <c r="C17" s="5">
        <f t="shared" si="0"/>
        <v>0.24399999999999999</v>
      </c>
      <c r="D17" s="5">
        <f t="shared" si="1"/>
        <v>0.48799999999999999</v>
      </c>
      <c r="E17" s="1">
        <v>13.8</v>
      </c>
      <c r="F17" s="1">
        <v>36.24</v>
      </c>
      <c r="G17" s="1">
        <v>4.4247516559999998</v>
      </c>
      <c r="H17" s="1">
        <v>64</v>
      </c>
      <c r="I17" s="1">
        <v>5.8699999999999996E-4</v>
      </c>
      <c r="J17" s="1">
        <v>61</v>
      </c>
    </row>
    <row r="18" spans="1:10" x14ac:dyDescent="0.3">
      <c r="A18" s="1">
        <v>40</v>
      </c>
      <c r="B18" s="1">
        <v>8.3800000000000008</v>
      </c>
      <c r="C18" s="5">
        <f t="shared" si="0"/>
        <v>1.6760000000000002</v>
      </c>
      <c r="D18" s="5">
        <f t="shared" si="1"/>
        <v>3.3520000000000003</v>
      </c>
      <c r="E18" s="1">
        <v>32.56</v>
      </c>
      <c r="F18" s="1">
        <v>25.97</v>
      </c>
      <c r="G18" s="1">
        <v>4.1008058180000004</v>
      </c>
      <c r="H18" s="1">
        <v>244</v>
      </c>
      <c r="I18" s="1">
        <v>1.9605999999999998E-2</v>
      </c>
      <c r="J18" s="1">
        <v>239</v>
      </c>
    </row>
    <row r="19" spans="1:10" x14ac:dyDescent="0.3">
      <c r="A19" s="1">
        <v>43</v>
      </c>
      <c r="B19" s="1">
        <v>1.83</v>
      </c>
      <c r="C19" s="5">
        <f t="shared" si="0"/>
        <v>0.36600000000000005</v>
      </c>
      <c r="D19" s="5">
        <f t="shared" si="1"/>
        <v>0.7320000000000001</v>
      </c>
      <c r="E19" s="1">
        <v>3.13</v>
      </c>
      <c r="F19" s="1">
        <v>28.55</v>
      </c>
      <c r="G19" s="1">
        <v>4.3490367780000003</v>
      </c>
      <c r="H19" s="9">
        <v>96</v>
      </c>
      <c r="I19" s="1">
        <v>2.8299999999999999E-4</v>
      </c>
      <c r="J19" s="1">
        <v>94</v>
      </c>
    </row>
    <row r="20" spans="1:10" x14ac:dyDescent="0.3">
      <c r="A20" s="1">
        <v>47</v>
      </c>
      <c r="B20" s="1">
        <v>6</v>
      </c>
      <c r="C20" s="5">
        <f t="shared" si="0"/>
        <v>1.2000000000000002</v>
      </c>
      <c r="D20" s="5">
        <f t="shared" si="1"/>
        <v>2.4000000000000004</v>
      </c>
      <c r="E20" s="1">
        <v>2.4</v>
      </c>
      <c r="F20" s="1">
        <v>92</v>
      </c>
      <c r="G20" s="1">
        <v>12.17543478</v>
      </c>
      <c r="H20" s="8">
        <v>90</v>
      </c>
      <c r="I20" s="1">
        <v>2.5860000000000002E-3</v>
      </c>
      <c r="J20" s="1">
        <v>84</v>
      </c>
    </row>
    <row r="21" spans="1:10" x14ac:dyDescent="0.3">
      <c r="A21" s="1">
        <v>48</v>
      </c>
      <c r="B21" s="1">
        <v>6</v>
      </c>
      <c r="C21" s="5">
        <f t="shared" si="0"/>
        <v>1.2000000000000002</v>
      </c>
      <c r="D21" s="5">
        <f t="shared" si="1"/>
        <v>2.4000000000000004</v>
      </c>
      <c r="E21" s="1">
        <v>1.4</v>
      </c>
      <c r="F21" s="1">
        <v>92</v>
      </c>
      <c r="G21" s="1">
        <v>12.17543478</v>
      </c>
      <c r="H21" s="1">
        <v>60</v>
      </c>
      <c r="I21" s="1">
        <v>3.0720000000000001E-3</v>
      </c>
      <c r="J21" s="1">
        <v>51</v>
      </c>
    </row>
    <row r="22" spans="1:10" x14ac:dyDescent="0.3">
      <c r="A22" s="1">
        <v>54</v>
      </c>
      <c r="B22" s="1">
        <v>5.5</v>
      </c>
      <c r="C22" s="5">
        <f t="shared" si="0"/>
        <v>1.1000000000000001</v>
      </c>
      <c r="D22" s="5">
        <f t="shared" si="1"/>
        <v>2.2000000000000002</v>
      </c>
      <c r="E22" s="1">
        <v>33</v>
      </c>
      <c r="F22" s="1">
        <v>25</v>
      </c>
      <c r="G22" s="1">
        <v>4.2590000000000003</v>
      </c>
      <c r="H22" s="1">
        <v>250</v>
      </c>
      <c r="I22" s="1">
        <v>8.9079999999999993E-3</v>
      </c>
      <c r="J22" s="1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3"/>
  <sheetViews>
    <sheetView topLeftCell="A35" workbookViewId="0">
      <selection activeCell="A36" sqref="A36:XFD63"/>
    </sheetView>
  </sheetViews>
  <sheetFormatPr defaultRowHeight="14.4" x14ac:dyDescent="0.3"/>
  <cols>
    <col min="4" max="4" width="18.33203125" customWidth="1"/>
    <col min="7" max="7" width="17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</row>
    <row r="2" spans="1:10" x14ac:dyDescent="0.3">
      <c r="A2" s="1">
        <v>1</v>
      </c>
      <c r="B2" s="1">
        <v>4.5720000000000001</v>
      </c>
      <c r="C2" s="5">
        <f t="shared" ref="C2:C33" si="0">0.4*B2</f>
        <v>1.8288000000000002</v>
      </c>
      <c r="D2" s="5">
        <f t="shared" ref="D2:D33" si="1">2*C2</f>
        <v>3.6576000000000004</v>
      </c>
      <c r="E2" s="12">
        <v>3.55</v>
      </c>
      <c r="F2" s="12">
        <v>37.67</v>
      </c>
      <c r="G2" s="12">
        <v>4.477132997</v>
      </c>
      <c r="H2" s="12">
        <v>274.32</v>
      </c>
      <c r="I2" s="12">
        <v>2.343E-3</v>
      </c>
      <c r="J2" s="12">
        <v>271</v>
      </c>
    </row>
    <row r="3" spans="1:10" x14ac:dyDescent="0.3">
      <c r="A3" s="1">
        <v>4</v>
      </c>
      <c r="B3" s="1">
        <v>3.048</v>
      </c>
      <c r="C3" s="5">
        <f t="shared" si="0"/>
        <v>1.2192000000000001</v>
      </c>
      <c r="D3" s="5">
        <f t="shared" si="1"/>
        <v>2.4384000000000001</v>
      </c>
      <c r="E3" s="12">
        <v>43.28</v>
      </c>
      <c r="F3" s="12">
        <v>103.4</v>
      </c>
      <c r="G3" s="12">
        <v>4.6659477760000003</v>
      </c>
      <c r="H3" s="12">
        <v>213.36</v>
      </c>
      <c r="I3" s="12">
        <v>4.2880000000000001E-3</v>
      </c>
      <c r="J3" s="12">
        <v>214</v>
      </c>
    </row>
    <row r="4" spans="1:10" x14ac:dyDescent="0.3">
      <c r="A4" s="1">
        <v>6</v>
      </c>
      <c r="B4" s="1">
        <v>3.81</v>
      </c>
      <c r="C4" s="5">
        <f t="shared" si="0"/>
        <v>1.524</v>
      </c>
      <c r="D4" s="5">
        <f t="shared" si="1"/>
        <v>3.048</v>
      </c>
      <c r="E4" s="12">
        <v>4.03</v>
      </c>
      <c r="F4" s="12">
        <v>35.049999999999997</v>
      </c>
      <c r="G4" s="12">
        <v>4.584194009</v>
      </c>
      <c r="H4" s="12">
        <v>91.44</v>
      </c>
      <c r="I4" s="12">
        <v>5.9899999999999997E-3</v>
      </c>
      <c r="J4" s="12">
        <v>84</v>
      </c>
    </row>
    <row r="5" spans="1:10" x14ac:dyDescent="0.3">
      <c r="A5" s="1">
        <v>8</v>
      </c>
      <c r="B5" s="1">
        <v>1.524</v>
      </c>
      <c r="C5" s="5">
        <f t="shared" si="0"/>
        <v>0.60960000000000003</v>
      </c>
      <c r="D5" s="5">
        <f t="shared" si="1"/>
        <v>1.2192000000000001</v>
      </c>
      <c r="E5" s="12">
        <v>29.64</v>
      </c>
      <c r="F5" s="12">
        <v>113.77</v>
      </c>
      <c r="G5" s="12">
        <v>4.7059998240000001</v>
      </c>
      <c r="H5" s="12">
        <v>76.2</v>
      </c>
      <c r="I5" s="12">
        <v>2.0999999999999999E-3</v>
      </c>
      <c r="J5" s="12">
        <v>78</v>
      </c>
    </row>
    <row r="6" spans="1:10" x14ac:dyDescent="0.3">
      <c r="A6" s="1">
        <v>10</v>
      </c>
      <c r="B6" s="1">
        <v>5.3339999999999996</v>
      </c>
      <c r="C6" s="5">
        <f t="shared" si="0"/>
        <v>2.1335999999999999</v>
      </c>
      <c r="D6" s="5">
        <f t="shared" si="1"/>
        <v>4.2671999999999999</v>
      </c>
      <c r="E6" s="12">
        <v>18.27</v>
      </c>
      <c r="F6" s="12">
        <v>87.41</v>
      </c>
      <c r="G6" s="12">
        <v>4.7078686650000003</v>
      </c>
      <c r="H6" s="12">
        <v>350.52</v>
      </c>
      <c r="I6" s="12">
        <v>4.2880000000000001E-3</v>
      </c>
      <c r="J6" s="12">
        <v>355</v>
      </c>
    </row>
    <row r="7" spans="1:10" x14ac:dyDescent="0.3">
      <c r="A7" s="1">
        <v>13</v>
      </c>
      <c r="B7" s="1">
        <v>1.524</v>
      </c>
      <c r="C7" s="5">
        <f t="shared" si="0"/>
        <v>0.60960000000000003</v>
      </c>
      <c r="D7" s="5">
        <f t="shared" si="1"/>
        <v>1.2192000000000001</v>
      </c>
      <c r="E7" s="12">
        <v>12.84</v>
      </c>
      <c r="F7" s="12">
        <v>29.26</v>
      </c>
      <c r="G7" s="12">
        <v>4.4282638409999997</v>
      </c>
      <c r="H7" s="12">
        <v>109.72799999999999</v>
      </c>
      <c r="I7" s="12">
        <v>2.0999999999999999E-3</v>
      </c>
      <c r="J7" s="12">
        <v>114</v>
      </c>
    </row>
    <row r="8" spans="1:10" x14ac:dyDescent="0.3">
      <c r="A8" s="1">
        <v>14</v>
      </c>
      <c r="B8" s="1">
        <v>3.81</v>
      </c>
      <c r="C8" s="5">
        <f t="shared" si="0"/>
        <v>1.524</v>
      </c>
      <c r="D8" s="5">
        <f t="shared" si="1"/>
        <v>3.048</v>
      </c>
      <c r="E8" s="12">
        <v>8.18</v>
      </c>
      <c r="F8" s="12">
        <v>23.9</v>
      </c>
      <c r="G8" s="12">
        <v>4.2098326359999998</v>
      </c>
      <c r="H8" s="12">
        <v>219.45599999999999</v>
      </c>
      <c r="I8" s="12">
        <v>5.0169999999999998E-3</v>
      </c>
      <c r="J8" s="12">
        <v>218</v>
      </c>
    </row>
    <row r="9" spans="1:10" x14ac:dyDescent="0.3">
      <c r="A9" s="1">
        <v>16</v>
      </c>
      <c r="B9" s="1">
        <v>3.048</v>
      </c>
      <c r="C9" s="5">
        <f t="shared" si="0"/>
        <v>1.2192000000000001</v>
      </c>
      <c r="D9" s="5">
        <f t="shared" si="1"/>
        <v>2.4384000000000001</v>
      </c>
      <c r="E9" s="12">
        <v>13.118</v>
      </c>
      <c r="F9" s="12">
        <v>77.8</v>
      </c>
      <c r="G9" s="12">
        <v>4.5751233930000001</v>
      </c>
      <c r="H9" s="12">
        <v>53.34</v>
      </c>
      <c r="I9" s="12">
        <v>9.8799999999999999E-3</v>
      </c>
      <c r="J9" s="12">
        <v>46</v>
      </c>
    </row>
    <row r="10" spans="1:10" x14ac:dyDescent="0.3">
      <c r="A10" s="1">
        <v>17</v>
      </c>
      <c r="B10" s="1">
        <v>2.286</v>
      </c>
      <c r="C10" s="5">
        <f t="shared" si="0"/>
        <v>0.9144000000000001</v>
      </c>
      <c r="D10" s="5">
        <f t="shared" si="1"/>
        <v>1.8288000000000002</v>
      </c>
      <c r="E10" s="12">
        <v>84.9</v>
      </c>
      <c r="F10" s="12">
        <v>97.662999999999997</v>
      </c>
      <c r="G10" s="12">
        <v>4.5985767380000002</v>
      </c>
      <c r="H10" s="12">
        <v>128.01599999999999</v>
      </c>
      <c r="I10" s="12">
        <v>8.9079999999999993E-3</v>
      </c>
      <c r="J10" s="12">
        <v>126</v>
      </c>
    </row>
    <row r="11" spans="1:10" x14ac:dyDescent="0.3">
      <c r="A11" s="1">
        <v>19</v>
      </c>
      <c r="B11" s="1">
        <v>4.5720000000000001</v>
      </c>
      <c r="C11" s="5">
        <f t="shared" si="0"/>
        <v>1.8288000000000002</v>
      </c>
      <c r="D11" s="5">
        <f t="shared" si="1"/>
        <v>3.6576000000000004</v>
      </c>
      <c r="E11" s="12">
        <v>49.3</v>
      </c>
      <c r="F11" s="12">
        <v>107.76</v>
      </c>
      <c r="G11" s="12">
        <v>4.6535913139999998</v>
      </c>
      <c r="H11" s="12">
        <v>192.024</v>
      </c>
      <c r="I11" s="12">
        <v>1.1825E-2</v>
      </c>
      <c r="J11" s="12">
        <v>195</v>
      </c>
    </row>
    <row r="12" spans="1:10" x14ac:dyDescent="0.3">
      <c r="A12" s="1">
        <v>20</v>
      </c>
      <c r="B12" s="1">
        <v>1.524</v>
      </c>
      <c r="C12" s="5">
        <f t="shared" si="0"/>
        <v>0.60960000000000003</v>
      </c>
      <c r="D12" s="5">
        <f t="shared" si="1"/>
        <v>1.2192000000000001</v>
      </c>
      <c r="E12" s="12">
        <v>90.21</v>
      </c>
      <c r="F12" s="12">
        <v>90.19</v>
      </c>
      <c r="G12" s="12">
        <v>4.6657567359999996</v>
      </c>
      <c r="H12" s="12">
        <v>60.96</v>
      </c>
      <c r="I12" s="12">
        <v>9.8799999999999999E-3</v>
      </c>
      <c r="J12" s="12">
        <v>67</v>
      </c>
    </row>
    <row r="13" spans="1:10" x14ac:dyDescent="0.3">
      <c r="A13" s="1">
        <v>22</v>
      </c>
      <c r="B13" s="1">
        <v>2.286</v>
      </c>
      <c r="C13" s="5">
        <f t="shared" si="0"/>
        <v>0.9144000000000001</v>
      </c>
      <c r="D13" s="5">
        <f t="shared" si="1"/>
        <v>1.8288000000000002</v>
      </c>
      <c r="E13" s="12">
        <v>20.95</v>
      </c>
      <c r="F13" s="12">
        <v>25.72</v>
      </c>
      <c r="G13" s="12">
        <v>4.2883359250000002</v>
      </c>
      <c r="H13" s="12">
        <v>106.68</v>
      </c>
      <c r="I13" s="12">
        <v>9.8799999999999999E-3</v>
      </c>
      <c r="J13" s="12">
        <v>102</v>
      </c>
    </row>
    <row r="14" spans="1:10" x14ac:dyDescent="0.3">
      <c r="A14" s="1">
        <v>23</v>
      </c>
      <c r="B14" s="1">
        <v>11</v>
      </c>
      <c r="C14" s="5">
        <f t="shared" si="0"/>
        <v>4.4000000000000004</v>
      </c>
      <c r="D14" s="5">
        <f t="shared" si="1"/>
        <v>8.8000000000000007</v>
      </c>
      <c r="E14" s="12">
        <v>4.2460000000000004</v>
      </c>
      <c r="F14" s="12">
        <v>63</v>
      </c>
      <c r="G14" s="12">
        <v>4.5537936510000003</v>
      </c>
      <c r="H14" s="12">
        <v>420</v>
      </c>
      <c r="I14" s="12">
        <v>1.2751999999999999E-2</v>
      </c>
      <c r="J14" s="12">
        <v>411</v>
      </c>
    </row>
    <row r="15" spans="1:10" x14ac:dyDescent="0.3">
      <c r="A15" s="1">
        <v>26</v>
      </c>
      <c r="B15" s="1">
        <v>4.2671999999999999</v>
      </c>
      <c r="C15" s="5">
        <f t="shared" si="0"/>
        <v>1.70688</v>
      </c>
      <c r="D15" s="5">
        <f t="shared" si="1"/>
        <v>3.4137599999999999</v>
      </c>
      <c r="E15" s="12">
        <v>25.4</v>
      </c>
      <c r="F15" s="12">
        <v>24.5</v>
      </c>
      <c r="G15" s="12">
        <v>4.4513061220000001</v>
      </c>
      <c r="H15" s="12">
        <v>71.3232</v>
      </c>
      <c r="I15" s="12">
        <v>9.5464999999999994E-2</v>
      </c>
      <c r="J15" s="12">
        <v>62</v>
      </c>
    </row>
    <row r="16" spans="1:10" x14ac:dyDescent="0.3">
      <c r="A16" s="1">
        <v>29</v>
      </c>
      <c r="B16" s="1">
        <v>1.0669999999999999</v>
      </c>
      <c r="C16" s="5">
        <f t="shared" si="0"/>
        <v>0.42680000000000001</v>
      </c>
      <c r="D16" s="5">
        <f t="shared" si="1"/>
        <v>0.85360000000000003</v>
      </c>
      <c r="E16" s="12">
        <v>3.57</v>
      </c>
      <c r="F16" s="12">
        <v>3.88</v>
      </c>
      <c r="G16" s="12">
        <v>5.5311855669999996</v>
      </c>
      <c r="H16" s="12">
        <v>57.302399999999999</v>
      </c>
      <c r="I16" s="12">
        <v>7.8960000000000002E-3</v>
      </c>
      <c r="J16" s="12">
        <v>48</v>
      </c>
    </row>
    <row r="17" spans="1:10" x14ac:dyDescent="0.3">
      <c r="A17" s="1">
        <v>31</v>
      </c>
      <c r="B17" s="1">
        <v>4.57</v>
      </c>
      <c r="C17" s="5">
        <f t="shared" si="0"/>
        <v>1.8280000000000003</v>
      </c>
      <c r="D17" s="5">
        <f t="shared" si="1"/>
        <v>3.6560000000000006</v>
      </c>
      <c r="E17" s="12">
        <v>9.23</v>
      </c>
      <c r="F17" s="12">
        <v>14.71</v>
      </c>
      <c r="G17" s="12">
        <v>4.5438341260000001</v>
      </c>
      <c r="H17" s="12">
        <v>366</v>
      </c>
      <c r="I17" s="12">
        <v>7.9349999999999993E-3</v>
      </c>
      <c r="J17" s="12">
        <v>364</v>
      </c>
    </row>
    <row r="18" spans="1:10" x14ac:dyDescent="0.3">
      <c r="A18" s="1">
        <v>34</v>
      </c>
      <c r="B18" s="1">
        <v>1.5249999999999999</v>
      </c>
      <c r="C18" s="5">
        <f t="shared" si="0"/>
        <v>0.61</v>
      </c>
      <c r="D18" s="5">
        <f t="shared" si="1"/>
        <v>1.22</v>
      </c>
      <c r="E18" s="12">
        <v>48.65</v>
      </c>
      <c r="F18" s="12">
        <v>47.59</v>
      </c>
      <c r="G18" s="12">
        <v>5.9281130490000002</v>
      </c>
      <c r="H18" s="12">
        <v>85</v>
      </c>
      <c r="I18" s="12">
        <v>9.8799999999999999E-3</v>
      </c>
      <c r="J18" s="12">
        <v>87</v>
      </c>
    </row>
    <row r="19" spans="1:10" x14ac:dyDescent="0.3">
      <c r="A19" s="1">
        <v>35</v>
      </c>
      <c r="B19" s="1">
        <v>5.335</v>
      </c>
      <c r="C19" s="5">
        <f t="shared" si="0"/>
        <v>2.1339999999999999</v>
      </c>
      <c r="D19" s="5">
        <f t="shared" si="1"/>
        <v>4.2679999999999998</v>
      </c>
      <c r="E19" s="12">
        <v>18.27</v>
      </c>
      <c r="F19" s="12">
        <v>25.45</v>
      </c>
      <c r="G19" s="12">
        <v>5.9700982319999998</v>
      </c>
      <c r="H19" s="12">
        <v>229</v>
      </c>
      <c r="I19" s="12">
        <v>2.9330999999999999E-2</v>
      </c>
      <c r="J19" s="12">
        <v>219</v>
      </c>
    </row>
    <row r="20" spans="1:10" x14ac:dyDescent="0.3">
      <c r="A20" s="1">
        <v>36</v>
      </c>
      <c r="B20" s="1">
        <v>4.57</v>
      </c>
      <c r="C20" s="5">
        <f t="shared" si="0"/>
        <v>1.8280000000000003</v>
      </c>
      <c r="D20" s="5">
        <f t="shared" si="1"/>
        <v>3.6560000000000006</v>
      </c>
      <c r="E20" s="12">
        <v>3.23</v>
      </c>
      <c r="F20" s="12">
        <v>41.2</v>
      </c>
      <c r="G20" s="12">
        <v>8.0795631070000002</v>
      </c>
      <c r="H20" s="12">
        <v>198</v>
      </c>
      <c r="I20" s="12">
        <v>4.045E-3</v>
      </c>
      <c r="J20" s="12">
        <v>197</v>
      </c>
    </row>
    <row r="21" spans="1:10" x14ac:dyDescent="0.3">
      <c r="A21" s="1">
        <v>39</v>
      </c>
      <c r="B21" s="1">
        <v>1.22</v>
      </c>
      <c r="C21" s="5">
        <f t="shared" si="0"/>
        <v>0.48799999999999999</v>
      </c>
      <c r="D21" s="5">
        <f t="shared" si="1"/>
        <v>0.97599999999999998</v>
      </c>
      <c r="E21" s="12">
        <v>13.8</v>
      </c>
      <c r="F21" s="12">
        <v>36.24</v>
      </c>
      <c r="G21" s="12">
        <v>4.4247516559999998</v>
      </c>
      <c r="H21" s="12">
        <v>64</v>
      </c>
      <c r="I21" s="12">
        <v>2.0999999999999999E-3</v>
      </c>
      <c r="J21" s="12">
        <v>66</v>
      </c>
    </row>
    <row r="22" spans="1:10" x14ac:dyDescent="0.3">
      <c r="A22" s="1">
        <v>40</v>
      </c>
      <c r="B22" s="1">
        <v>8.3800000000000008</v>
      </c>
      <c r="C22" s="5">
        <f t="shared" si="0"/>
        <v>3.3520000000000003</v>
      </c>
      <c r="D22" s="5">
        <f t="shared" si="1"/>
        <v>6.7040000000000006</v>
      </c>
      <c r="E22" s="12">
        <v>32.56</v>
      </c>
      <c r="F22" s="12">
        <v>25.97</v>
      </c>
      <c r="G22" s="12">
        <v>4.1008058180000004</v>
      </c>
      <c r="H22" s="12">
        <v>244</v>
      </c>
      <c r="I22" s="12">
        <v>7.9561000000000007E-2</v>
      </c>
      <c r="J22" s="12">
        <v>247</v>
      </c>
    </row>
    <row r="23" spans="1:10" x14ac:dyDescent="0.3">
      <c r="A23" s="1">
        <v>41</v>
      </c>
      <c r="B23" s="1">
        <v>4.57</v>
      </c>
      <c r="C23" s="5">
        <f t="shared" si="0"/>
        <v>1.8280000000000003</v>
      </c>
      <c r="D23" s="5">
        <f t="shared" si="1"/>
        <v>3.6560000000000006</v>
      </c>
      <c r="E23" s="12">
        <v>15.6</v>
      </c>
      <c r="F23" s="12">
        <v>25.44</v>
      </c>
      <c r="G23" s="12">
        <v>4.1008058180000004</v>
      </c>
      <c r="H23" s="12">
        <v>549</v>
      </c>
      <c r="I23" s="12">
        <v>4.5310000000000003E-3</v>
      </c>
      <c r="J23" s="12">
        <v>553</v>
      </c>
    </row>
    <row r="24" spans="1:10" x14ac:dyDescent="0.3">
      <c r="A24" s="1">
        <v>42</v>
      </c>
      <c r="B24" s="1">
        <v>3.05</v>
      </c>
      <c r="C24" s="5">
        <f t="shared" si="0"/>
        <v>1.22</v>
      </c>
      <c r="D24" s="5">
        <f t="shared" si="1"/>
        <v>2.44</v>
      </c>
      <c r="E24" s="12">
        <v>9.23</v>
      </c>
      <c r="F24" s="12">
        <v>17.14</v>
      </c>
      <c r="G24" s="12">
        <v>4.0302742120000001</v>
      </c>
      <c r="H24" s="12">
        <v>152</v>
      </c>
      <c r="I24" s="12">
        <v>6.9629999999999996E-3</v>
      </c>
      <c r="J24" s="12">
        <v>151</v>
      </c>
    </row>
    <row r="25" spans="1:10" x14ac:dyDescent="0.3">
      <c r="A25" s="1">
        <v>45</v>
      </c>
      <c r="B25" s="1">
        <v>6</v>
      </c>
      <c r="C25" s="5">
        <f t="shared" si="0"/>
        <v>2.4000000000000004</v>
      </c>
      <c r="D25" s="5">
        <f t="shared" si="1"/>
        <v>4.8000000000000007</v>
      </c>
      <c r="E25" s="12">
        <v>0.04</v>
      </c>
      <c r="F25" s="12">
        <v>86</v>
      </c>
      <c r="G25" s="12">
        <v>8.4916279069999998</v>
      </c>
      <c r="H25" s="12">
        <v>90</v>
      </c>
      <c r="I25" s="12">
        <v>4.5849999999999997E-3</v>
      </c>
      <c r="J25" s="12">
        <v>80</v>
      </c>
    </row>
    <row r="26" spans="1:10" x14ac:dyDescent="0.3">
      <c r="A26" s="1">
        <v>46</v>
      </c>
      <c r="B26" s="1">
        <v>6</v>
      </c>
      <c r="C26" s="5">
        <f t="shared" si="0"/>
        <v>2.4000000000000004</v>
      </c>
      <c r="D26" s="5">
        <f t="shared" si="1"/>
        <v>4.8000000000000007</v>
      </c>
      <c r="E26" s="12">
        <v>1.3</v>
      </c>
      <c r="F26" s="12">
        <v>86</v>
      </c>
      <c r="G26" s="12">
        <v>8.5233720930000008</v>
      </c>
      <c r="H26" s="12">
        <v>120</v>
      </c>
      <c r="I26" s="12">
        <v>5.0699999999999999E-3</v>
      </c>
      <c r="J26" s="12">
        <v>110</v>
      </c>
    </row>
    <row r="27" spans="1:10" x14ac:dyDescent="0.3">
      <c r="A27" s="1">
        <v>47</v>
      </c>
      <c r="B27" s="1">
        <v>6</v>
      </c>
      <c r="C27" s="5">
        <f t="shared" si="0"/>
        <v>2.4000000000000004</v>
      </c>
      <c r="D27" s="5">
        <f t="shared" si="1"/>
        <v>4.8000000000000007</v>
      </c>
      <c r="E27" s="12">
        <v>2.4</v>
      </c>
      <c r="F27" s="12">
        <v>92</v>
      </c>
      <c r="G27" s="12">
        <v>12.17543478</v>
      </c>
      <c r="H27" s="12">
        <v>90</v>
      </c>
      <c r="I27" s="12">
        <v>9.9229999999999995E-3</v>
      </c>
      <c r="J27" s="12">
        <v>88</v>
      </c>
    </row>
    <row r="28" spans="1:10" x14ac:dyDescent="0.3">
      <c r="A28" s="1">
        <v>48</v>
      </c>
      <c r="B28" s="1">
        <v>6</v>
      </c>
      <c r="C28" s="5">
        <f t="shared" si="0"/>
        <v>2.4000000000000004</v>
      </c>
      <c r="D28" s="5">
        <f t="shared" si="1"/>
        <v>4.8000000000000007</v>
      </c>
      <c r="E28" s="12">
        <v>1.4</v>
      </c>
      <c r="F28" s="12">
        <v>92</v>
      </c>
      <c r="G28" s="12">
        <v>12.17543478</v>
      </c>
      <c r="H28" s="12">
        <v>60</v>
      </c>
      <c r="I28" s="12">
        <v>1.1864E-2</v>
      </c>
      <c r="J28" s="12">
        <v>54</v>
      </c>
    </row>
    <row r="29" spans="1:10" x14ac:dyDescent="0.3">
      <c r="A29" s="1">
        <v>49</v>
      </c>
      <c r="B29" s="1">
        <v>6</v>
      </c>
      <c r="C29" s="5">
        <f t="shared" si="0"/>
        <v>2.4000000000000004</v>
      </c>
      <c r="D29" s="5">
        <f t="shared" si="1"/>
        <v>4.8000000000000007</v>
      </c>
      <c r="E29" s="12">
        <v>0.7</v>
      </c>
      <c r="F29" s="12">
        <v>92</v>
      </c>
      <c r="G29" s="12">
        <v>12.29391304</v>
      </c>
      <c r="H29" s="12">
        <v>90</v>
      </c>
      <c r="I29" s="12">
        <v>5.0699999999999999E-3</v>
      </c>
      <c r="J29" s="12">
        <v>98</v>
      </c>
    </row>
    <row r="30" spans="1:10" x14ac:dyDescent="0.3">
      <c r="A30" s="1">
        <v>52</v>
      </c>
      <c r="B30" s="1">
        <v>7.5</v>
      </c>
      <c r="C30" s="5">
        <f t="shared" si="0"/>
        <v>3</v>
      </c>
      <c r="D30" s="5">
        <f t="shared" si="1"/>
        <v>6</v>
      </c>
      <c r="E30" s="12">
        <v>0.31</v>
      </c>
      <c r="F30" s="12">
        <v>203</v>
      </c>
      <c r="G30" s="12">
        <v>4.8923645320000002</v>
      </c>
      <c r="H30" s="12">
        <v>160</v>
      </c>
      <c r="I30" s="12">
        <v>6.0410000000000004E-3</v>
      </c>
      <c r="J30" s="12">
        <v>153</v>
      </c>
    </row>
    <row r="31" spans="1:10" x14ac:dyDescent="0.3">
      <c r="A31" s="1">
        <v>54</v>
      </c>
      <c r="B31" s="1">
        <v>5.5</v>
      </c>
      <c r="C31" s="5">
        <f t="shared" si="0"/>
        <v>2.2000000000000002</v>
      </c>
      <c r="D31" s="5">
        <f t="shared" si="1"/>
        <v>4.4000000000000004</v>
      </c>
      <c r="E31" s="12">
        <v>33</v>
      </c>
      <c r="F31" s="12">
        <v>25</v>
      </c>
      <c r="G31" s="12">
        <v>4.2590000000000003</v>
      </c>
      <c r="H31" s="12">
        <v>250</v>
      </c>
      <c r="I31" s="12">
        <v>3.7111999999999999E-2</v>
      </c>
      <c r="J31" s="12">
        <v>243</v>
      </c>
    </row>
    <row r="32" spans="1:10" x14ac:dyDescent="0.3">
      <c r="A32" s="1">
        <v>55</v>
      </c>
      <c r="B32" s="1">
        <v>3.7</v>
      </c>
      <c r="C32" s="5">
        <f t="shared" si="0"/>
        <v>1.4800000000000002</v>
      </c>
      <c r="D32" s="5">
        <f t="shared" si="1"/>
        <v>2.9600000000000004</v>
      </c>
      <c r="E32" s="12">
        <v>123</v>
      </c>
      <c r="F32" s="12">
        <v>1402.6</v>
      </c>
      <c r="G32" s="12">
        <v>8.4875000000000007</v>
      </c>
      <c r="H32" s="12">
        <v>200</v>
      </c>
      <c r="I32" s="12">
        <v>3.0720000000000001E-3</v>
      </c>
      <c r="J32" s="12">
        <v>192</v>
      </c>
    </row>
    <row r="33" spans="1:10" x14ac:dyDescent="0.3">
      <c r="A33" s="1">
        <v>57</v>
      </c>
      <c r="B33" s="1">
        <v>5</v>
      </c>
      <c r="C33" s="5">
        <f t="shared" si="0"/>
        <v>2</v>
      </c>
      <c r="D33" s="5">
        <f t="shared" si="1"/>
        <v>4</v>
      </c>
      <c r="E33" s="12">
        <v>0.01</v>
      </c>
      <c r="F33" s="12">
        <v>4</v>
      </c>
      <c r="G33" s="12">
        <v>3.08</v>
      </c>
      <c r="H33" s="12">
        <v>100</v>
      </c>
      <c r="I33" s="12">
        <v>2.8289999999999999E-3</v>
      </c>
      <c r="J33" s="12">
        <v>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47F6-F189-453D-B353-E05D393BC44D}">
  <dimension ref="A1:K37"/>
  <sheetViews>
    <sheetView topLeftCell="A38" workbookViewId="0">
      <selection activeCell="A41" sqref="A41:XFD66"/>
    </sheetView>
  </sheetViews>
  <sheetFormatPr defaultRowHeight="14.4" x14ac:dyDescent="0.3"/>
  <cols>
    <col min="4" max="4" width="23.33203125" customWidth="1"/>
    <col min="7" max="7" width="13.1093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</row>
    <row r="2" spans="1:11" x14ac:dyDescent="0.3">
      <c r="A2" s="12">
        <v>4</v>
      </c>
      <c r="B2" s="12">
        <v>3.048</v>
      </c>
      <c r="C2" s="12">
        <f>0.5*B2</f>
        <v>1.524</v>
      </c>
      <c r="D2" s="12">
        <f>2*C2</f>
        <v>3.048</v>
      </c>
      <c r="E2" s="12">
        <v>43.28</v>
      </c>
      <c r="F2" s="12">
        <v>103.4</v>
      </c>
      <c r="G2" s="12">
        <v>4.6659477760000003</v>
      </c>
      <c r="H2" s="12">
        <v>213.36</v>
      </c>
      <c r="I2" s="12">
        <v>6.9629999999999996E-3</v>
      </c>
      <c r="J2" s="12">
        <v>208</v>
      </c>
    </row>
    <row r="3" spans="1:11" x14ac:dyDescent="0.3">
      <c r="A3" s="12">
        <v>6</v>
      </c>
      <c r="B3" s="12">
        <v>3.81</v>
      </c>
      <c r="C3" s="12">
        <f t="shared" ref="C3:C37" si="0">0.5*B3</f>
        <v>1.905</v>
      </c>
      <c r="D3" s="12">
        <f t="shared" ref="D3:D37" si="1">2*C3</f>
        <v>3.81</v>
      </c>
      <c r="E3" s="12">
        <v>4.03</v>
      </c>
      <c r="F3" s="12">
        <v>35.049999999999997</v>
      </c>
      <c r="G3" s="12">
        <v>4.584194009</v>
      </c>
      <c r="H3" s="12">
        <v>91.44</v>
      </c>
      <c r="I3" s="12">
        <v>7.9349999999999993E-3</v>
      </c>
      <c r="J3" s="12">
        <v>98</v>
      </c>
    </row>
    <row r="4" spans="1:11" x14ac:dyDescent="0.3">
      <c r="A4" s="12">
        <v>8</v>
      </c>
      <c r="B4" s="12">
        <v>1.524</v>
      </c>
      <c r="C4" s="12">
        <f t="shared" si="0"/>
        <v>0.76200000000000001</v>
      </c>
      <c r="D4" s="12">
        <f t="shared" si="1"/>
        <v>1.524</v>
      </c>
      <c r="E4" s="12">
        <v>29.64</v>
      </c>
      <c r="F4" s="12">
        <v>113.77</v>
      </c>
      <c r="G4" s="12">
        <v>4.7059998240000001</v>
      </c>
      <c r="H4" s="12">
        <v>76.2</v>
      </c>
      <c r="I4" s="12">
        <v>3.0720000000000001E-3</v>
      </c>
      <c r="J4" s="12">
        <v>79</v>
      </c>
    </row>
    <row r="5" spans="1:11" x14ac:dyDescent="0.3">
      <c r="A5" s="12">
        <v>9</v>
      </c>
      <c r="B5" s="12">
        <v>3.81</v>
      </c>
      <c r="C5" s="12">
        <f t="shared" si="0"/>
        <v>1.905</v>
      </c>
      <c r="D5" s="12">
        <f t="shared" si="1"/>
        <v>3.81</v>
      </c>
      <c r="E5" s="12">
        <v>0.68</v>
      </c>
      <c r="F5" s="12">
        <v>68.94</v>
      </c>
      <c r="G5" s="12">
        <v>4.6965506240000003</v>
      </c>
      <c r="H5" s="12">
        <v>106.68</v>
      </c>
      <c r="I5" s="12">
        <v>2.5860000000000002E-3</v>
      </c>
      <c r="J5" s="12">
        <v>111</v>
      </c>
    </row>
    <row r="6" spans="1:11" x14ac:dyDescent="0.3">
      <c r="A6" s="12">
        <v>10</v>
      </c>
      <c r="B6" s="12">
        <v>5.3339999999999996</v>
      </c>
      <c r="C6" s="12">
        <f t="shared" si="0"/>
        <v>2.6669999999999998</v>
      </c>
      <c r="D6" s="12">
        <f t="shared" si="1"/>
        <v>5.3339999999999996</v>
      </c>
      <c r="E6" s="12">
        <v>18.27</v>
      </c>
      <c r="F6" s="12">
        <v>87.41</v>
      </c>
      <c r="G6" s="12">
        <v>4.7078686650000003</v>
      </c>
      <c r="H6" s="12">
        <v>350.52</v>
      </c>
      <c r="I6" s="12">
        <v>7.0109999999999999E-3</v>
      </c>
      <c r="J6" s="12">
        <v>343</v>
      </c>
    </row>
    <row r="7" spans="1:11" x14ac:dyDescent="0.3">
      <c r="A7" s="12">
        <v>13</v>
      </c>
      <c r="B7" s="12">
        <v>1.524</v>
      </c>
      <c r="C7" s="12">
        <f t="shared" si="0"/>
        <v>0.76200000000000001</v>
      </c>
      <c r="D7" s="12">
        <f t="shared" si="1"/>
        <v>1.524</v>
      </c>
      <c r="E7" s="12">
        <v>12.84</v>
      </c>
      <c r="F7" s="12">
        <v>29.26</v>
      </c>
      <c r="G7" s="12">
        <v>4.4282638409999997</v>
      </c>
      <c r="H7" s="12">
        <v>109.72799999999999</v>
      </c>
      <c r="I7" s="12">
        <v>3.5590000000000001E-3</v>
      </c>
      <c r="J7" s="12">
        <v>107</v>
      </c>
    </row>
    <row r="8" spans="1:11" x14ac:dyDescent="0.3">
      <c r="A8" s="12">
        <v>14</v>
      </c>
      <c r="B8" s="12">
        <v>3.81</v>
      </c>
      <c r="C8" s="12">
        <f t="shared" si="0"/>
        <v>1.905</v>
      </c>
      <c r="D8" s="12">
        <f t="shared" si="1"/>
        <v>3.81</v>
      </c>
      <c r="E8" s="12">
        <v>8.18</v>
      </c>
      <c r="F8" s="12">
        <v>23.9</v>
      </c>
      <c r="G8" s="12">
        <v>4.2098326359999998</v>
      </c>
      <c r="H8" s="12">
        <v>219.45599999999999</v>
      </c>
      <c r="I8" s="12">
        <v>7.9349999999999993E-3</v>
      </c>
      <c r="J8" s="12">
        <v>216</v>
      </c>
    </row>
    <row r="9" spans="1:11" x14ac:dyDescent="0.3">
      <c r="A9" s="12">
        <v>15</v>
      </c>
      <c r="B9" s="12">
        <v>1.524</v>
      </c>
      <c r="C9" s="12">
        <f t="shared" si="0"/>
        <v>0.76200000000000001</v>
      </c>
      <c r="D9" s="12">
        <f t="shared" si="1"/>
        <v>1.524</v>
      </c>
      <c r="E9" s="12">
        <v>13.8</v>
      </c>
      <c r="F9" s="12">
        <v>57.76</v>
      </c>
      <c r="G9" s="12">
        <v>4.5061634350000004</v>
      </c>
      <c r="H9" s="12">
        <v>96.012</v>
      </c>
      <c r="I9" s="12">
        <v>2.0999999999999999E-3</v>
      </c>
      <c r="J9" s="12">
        <v>102</v>
      </c>
    </row>
    <row r="10" spans="1:11" x14ac:dyDescent="0.3">
      <c r="A10" s="12">
        <v>16</v>
      </c>
      <c r="B10" s="12">
        <v>3.048</v>
      </c>
      <c r="C10" s="12">
        <f t="shared" si="0"/>
        <v>1.524</v>
      </c>
      <c r="D10" s="12">
        <f t="shared" si="1"/>
        <v>3.048</v>
      </c>
      <c r="E10" s="12">
        <v>13.118</v>
      </c>
      <c r="F10" s="12">
        <v>77.8</v>
      </c>
      <c r="G10" s="12">
        <v>4.5751233930000001</v>
      </c>
      <c r="H10" s="12">
        <v>53.34</v>
      </c>
      <c r="I10" s="12">
        <v>1.3771E-2</v>
      </c>
      <c r="J10" s="12">
        <v>52</v>
      </c>
    </row>
    <row r="11" spans="1:11" x14ac:dyDescent="0.3">
      <c r="A11" s="12">
        <v>17</v>
      </c>
      <c r="B11" s="12">
        <v>2.286</v>
      </c>
      <c r="C11" s="12">
        <f t="shared" si="0"/>
        <v>1.143</v>
      </c>
      <c r="D11" s="12">
        <f t="shared" si="1"/>
        <v>2.286</v>
      </c>
      <c r="E11" s="12">
        <v>84.9</v>
      </c>
      <c r="F11" s="12">
        <v>97.662999999999997</v>
      </c>
      <c r="G11" s="12">
        <v>4.5985767380000002</v>
      </c>
      <c r="H11" s="12">
        <v>128.01599999999999</v>
      </c>
      <c r="I11" s="12">
        <v>1.3771E-2</v>
      </c>
      <c r="J11" s="12">
        <v>129</v>
      </c>
    </row>
    <row r="12" spans="1:11" x14ac:dyDescent="0.3">
      <c r="A12" s="12">
        <v>19</v>
      </c>
      <c r="B12" s="12">
        <v>4.5720000000000001</v>
      </c>
      <c r="C12" s="12">
        <f t="shared" si="0"/>
        <v>2.286</v>
      </c>
      <c r="D12" s="12">
        <f t="shared" si="1"/>
        <v>4.5720000000000001</v>
      </c>
      <c r="E12" s="12">
        <v>49.3</v>
      </c>
      <c r="F12" s="12">
        <v>107.76</v>
      </c>
      <c r="G12" s="12">
        <v>4.6535913139999998</v>
      </c>
      <c r="H12" s="12">
        <v>192.024</v>
      </c>
      <c r="I12" s="12">
        <v>1.9629000000000001E-2</v>
      </c>
      <c r="J12" s="12">
        <v>186</v>
      </c>
    </row>
    <row r="13" spans="1:11" x14ac:dyDescent="0.3">
      <c r="A13" s="12">
        <v>20</v>
      </c>
      <c r="B13" s="12">
        <v>1.524</v>
      </c>
      <c r="C13" s="12">
        <f t="shared" si="0"/>
        <v>0.76200000000000001</v>
      </c>
      <c r="D13" s="12">
        <f t="shared" si="1"/>
        <v>1.524</v>
      </c>
      <c r="E13" s="12">
        <v>90.21</v>
      </c>
      <c r="F13" s="12">
        <v>90.19</v>
      </c>
      <c r="G13" s="12">
        <v>4.6657567359999996</v>
      </c>
      <c r="H13" s="12">
        <v>60.96</v>
      </c>
      <c r="I13" s="12">
        <v>1.7661E-2</v>
      </c>
      <c r="J13" s="12">
        <v>61</v>
      </c>
    </row>
    <row r="14" spans="1:11" x14ac:dyDescent="0.3">
      <c r="A14" s="12">
        <v>22</v>
      </c>
      <c r="B14" s="12">
        <v>2.286</v>
      </c>
      <c r="C14" s="12">
        <f t="shared" si="0"/>
        <v>1.143</v>
      </c>
      <c r="D14" s="12">
        <f t="shared" si="1"/>
        <v>2.286</v>
      </c>
      <c r="E14" s="12">
        <v>20.95</v>
      </c>
      <c r="F14" s="12">
        <v>25.72</v>
      </c>
      <c r="G14" s="12">
        <v>4.2883359250000002</v>
      </c>
      <c r="H14" s="12">
        <v>106.68</v>
      </c>
      <c r="I14" s="12">
        <v>1.3771E-2</v>
      </c>
      <c r="J14" s="12">
        <v>114</v>
      </c>
    </row>
    <row r="15" spans="1:11" x14ac:dyDescent="0.3">
      <c r="A15" s="12">
        <v>23</v>
      </c>
      <c r="B15" s="12">
        <v>11</v>
      </c>
      <c r="C15" s="12">
        <f t="shared" si="0"/>
        <v>5.5</v>
      </c>
      <c r="D15" s="12">
        <f t="shared" si="1"/>
        <v>11</v>
      </c>
      <c r="E15" s="12">
        <v>4.2460000000000004</v>
      </c>
      <c r="F15" s="12">
        <v>63</v>
      </c>
      <c r="G15" s="12">
        <v>4.5537936510000003</v>
      </c>
      <c r="H15" s="12">
        <v>420</v>
      </c>
      <c r="I15" s="12">
        <v>2.1852E-2</v>
      </c>
      <c r="J15" s="12">
        <v>413</v>
      </c>
    </row>
    <row r="16" spans="1:11" x14ac:dyDescent="0.3">
      <c r="A16" s="12">
        <v>26</v>
      </c>
      <c r="B16" s="12">
        <v>4.2671999999999999</v>
      </c>
      <c r="C16" s="12">
        <f t="shared" si="0"/>
        <v>2.1335999999999999</v>
      </c>
      <c r="D16" s="12">
        <f t="shared" si="1"/>
        <v>4.2671999999999999</v>
      </c>
      <c r="E16" s="12">
        <v>25.4</v>
      </c>
      <c r="F16" s="12">
        <v>24.5</v>
      </c>
      <c r="G16" s="12">
        <v>4.4513061220000001</v>
      </c>
      <c r="H16" s="12">
        <v>71.3232</v>
      </c>
      <c r="I16" s="12">
        <v>0.12658700000000001</v>
      </c>
      <c r="J16" s="12">
        <v>72</v>
      </c>
      <c r="K16" s="13" t="s">
        <v>64</v>
      </c>
    </row>
    <row r="17" spans="1:11" x14ac:dyDescent="0.3">
      <c r="A17" s="12">
        <v>29</v>
      </c>
      <c r="B17" s="12">
        <v>1.0669999999999999</v>
      </c>
      <c r="C17" s="12">
        <f t="shared" si="0"/>
        <v>0.53349999999999997</v>
      </c>
      <c r="D17" s="12">
        <f t="shared" si="1"/>
        <v>1.0669999999999999</v>
      </c>
      <c r="E17" s="12">
        <v>3.57</v>
      </c>
      <c r="F17" s="12">
        <v>3.88</v>
      </c>
      <c r="G17" s="12">
        <v>5.5311855669999996</v>
      </c>
      <c r="H17" s="12">
        <v>57.302399999999999</v>
      </c>
      <c r="I17" s="12">
        <v>9.8799999999999999E-3</v>
      </c>
      <c r="J17" s="12">
        <v>59</v>
      </c>
    </row>
    <row r="18" spans="1:11" x14ac:dyDescent="0.3">
      <c r="A18" s="12">
        <v>31</v>
      </c>
      <c r="B18" s="12">
        <v>4.57</v>
      </c>
      <c r="C18" s="12">
        <f t="shared" si="0"/>
        <v>2.2850000000000001</v>
      </c>
      <c r="D18" s="12">
        <f t="shared" si="1"/>
        <v>4.57</v>
      </c>
      <c r="E18" s="12">
        <v>9.23</v>
      </c>
      <c r="F18" s="12">
        <v>14.71</v>
      </c>
      <c r="G18" s="12">
        <v>4.5438341260000001</v>
      </c>
      <c r="H18" s="12">
        <v>366</v>
      </c>
      <c r="I18" s="12">
        <v>1.2834999999999999E-2</v>
      </c>
      <c r="J18" s="12">
        <v>356</v>
      </c>
    </row>
    <row r="19" spans="1:11" x14ac:dyDescent="0.3">
      <c r="A19" s="12">
        <v>32</v>
      </c>
      <c r="B19" s="12">
        <v>3.05</v>
      </c>
      <c r="C19" s="12">
        <f t="shared" si="0"/>
        <v>1.5249999999999999</v>
      </c>
      <c r="D19" s="12">
        <f t="shared" si="1"/>
        <v>3.05</v>
      </c>
      <c r="E19" s="12">
        <v>2.84</v>
      </c>
      <c r="F19" s="12">
        <v>24.6</v>
      </c>
      <c r="G19" s="12">
        <v>4.9722764230000003</v>
      </c>
      <c r="H19" s="12">
        <v>168</v>
      </c>
      <c r="I19" s="12">
        <v>3.0720000000000001E-3</v>
      </c>
      <c r="J19" s="12">
        <v>168</v>
      </c>
    </row>
    <row r="20" spans="1:11" x14ac:dyDescent="0.3">
      <c r="A20" s="12">
        <v>34</v>
      </c>
      <c r="B20" s="12">
        <v>1.5249999999999999</v>
      </c>
      <c r="C20" s="12">
        <f t="shared" si="0"/>
        <v>0.76249999999999996</v>
      </c>
      <c r="D20" s="12">
        <f t="shared" si="1"/>
        <v>1.5249999999999999</v>
      </c>
      <c r="E20" s="12">
        <v>48.65</v>
      </c>
      <c r="F20" s="12">
        <v>47.59</v>
      </c>
      <c r="G20" s="12">
        <v>5.9281130490000002</v>
      </c>
      <c r="H20" s="12">
        <v>85</v>
      </c>
      <c r="I20" s="12">
        <v>1.7661E-2</v>
      </c>
      <c r="J20" s="12">
        <v>79</v>
      </c>
    </row>
    <row r="21" spans="1:11" x14ac:dyDescent="0.3">
      <c r="A21" s="12">
        <v>35</v>
      </c>
      <c r="B21" s="12">
        <v>5.335</v>
      </c>
      <c r="C21" s="12">
        <f t="shared" si="0"/>
        <v>2.6675</v>
      </c>
      <c r="D21" s="12">
        <f t="shared" si="1"/>
        <v>5.335</v>
      </c>
      <c r="E21" s="12">
        <v>18.27</v>
      </c>
      <c r="F21" s="12">
        <v>25.45</v>
      </c>
      <c r="G21" s="12">
        <v>5.9700982319999998</v>
      </c>
      <c r="H21" s="12">
        <v>229</v>
      </c>
      <c r="I21" s="12">
        <v>4.2923999999999997E-2</v>
      </c>
      <c r="J21" s="12">
        <v>234</v>
      </c>
    </row>
    <row r="22" spans="1:11" x14ac:dyDescent="0.3">
      <c r="A22" s="12">
        <v>36</v>
      </c>
      <c r="B22" s="12">
        <v>4.57</v>
      </c>
      <c r="C22" s="12">
        <f t="shared" si="0"/>
        <v>2.2850000000000001</v>
      </c>
      <c r="D22" s="12">
        <f t="shared" si="1"/>
        <v>4.57</v>
      </c>
      <c r="E22" s="12">
        <v>3.23</v>
      </c>
      <c r="F22" s="12">
        <v>41.2</v>
      </c>
      <c r="G22" s="12">
        <v>8.0795631070000002</v>
      </c>
      <c r="H22" s="12">
        <v>198</v>
      </c>
      <c r="I22" s="12">
        <v>6.0410000000000004E-3</v>
      </c>
      <c r="J22" s="12">
        <v>206</v>
      </c>
    </row>
    <row r="23" spans="1:11" x14ac:dyDescent="0.3">
      <c r="A23" s="12">
        <v>39</v>
      </c>
      <c r="B23" s="12">
        <v>1.22</v>
      </c>
      <c r="C23" s="12">
        <f t="shared" si="0"/>
        <v>0.61</v>
      </c>
      <c r="D23" s="12">
        <f t="shared" si="1"/>
        <v>1.22</v>
      </c>
      <c r="E23" s="12">
        <v>13.8</v>
      </c>
      <c r="F23" s="12">
        <v>36.24</v>
      </c>
      <c r="G23" s="12">
        <v>4.4247516559999998</v>
      </c>
      <c r="H23" s="12">
        <v>64</v>
      </c>
      <c r="I23" s="12">
        <v>4.045E-3</v>
      </c>
      <c r="J23" s="12">
        <v>56</v>
      </c>
    </row>
    <row r="24" spans="1:11" x14ac:dyDescent="0.3">
      <c r="A24" s="12">
        <v>40</v>
      </c>
      <c r="B24" s="12">
        <v>8.3800000000000008</v>
      </c>
      <c r="C24" s="12">
        <f t="shared" si="0"/>
        <v>4.1900000000000004</v>
      </c>
      <c r="D24" s="12">
        <f t="shared" si="1"/>
        <v>8.3800000000000008</v>
      </c>
      <c r="E24" s="12">
        <v>32.56</v>
      </c>
      <c r="F24" s="12">
        <v>25.97</v>
      </c>
      <c r="G24" s="12">
        <v>4.1008058180000004</v>
      </c>
      <c r="H24" s="12">
        <v>244</v>
      </c>
      <c r="I24" s="12">
        <v>0.12586900000000001</v>
      </c>
      <c r="J24" s="12">
        <v>245</v>
      </c>
      <c r="K24" s="13" t="s">
        <v>64</v>
      </c>
    </row>
    <row r="25" spans="1:11" x14ac:dyDescent="0.3">
      <c r="A25" s="12">
        <v>41</v>
      </c>
      <c r="B25" s="12">
        <v>4.57</v>
      </c>
      <c r="C25" s="12">
        <f t="shared" si="0"/>
        <v>2.2850000000000001</v>
      </c>
      <c r="D25" s="12">
        <f t="shared" si="1"/>
        <v>4.57</v>
      </c>
      <c r="E25" s="12">
        <v>15.6</v>
      </c>
      <c r="F25" s="12">
        <v>25.44</v>
      </c>
      <c r="G25" s="12">
        <v>4.1008058180000004</v>
      </c>
      <c r="H25" s="12">
        <v>549</v>
      </c>
      <c r="I25" s="12">
        <v>7.254E-3</v>
      </c>
      <c r="J25" s="12">
        <v>542</v>
      </c>
    </row>
    <row r="26" spans="1:11" x14ac:dyDescent="0.3">
      <c r="A26" s="12">
        <v>42</v>
      </c>
      <c r="B26" s="12">
        <v>3.05</v>
      </c>
      <c r="C26" s="12">
        <f t="shared" si="0"/>
        <v>1.5249999999999999</v>
      </c>
      <c r="D26" s="12">
        <f t="shared" si="1"/>
        <v>3.05</v>
      </c>
      <c r="E26" s="12">
        <v>9.23</v>
      </c>
      <c r="F26" s="12">
        <v>17.14</v>
      </c>
      <c r="G26" s="12">
        <v>4.0302742120000001</v>
      </c>
      <c r="H26" s="12">
        <v>152</v>
      </c>
      <c r="I26" s="12">
        <v>1.1825E-2</v>
      </c>
      <c r="J26" s="12">
        <v>142</v>
      </c>
    </row>
    <row r="27" spans="1:11" x14ac:dyDescent="0.3">
      <c r="A27" s="12">
        <v>44</v>
      </c>
      <c r="B27" s="12">
        <v>6</v>
      </c>
      <c r="C27" s="12">
        <f t="shared" si="0"/>
        <v>3</v>
      </c>
      <c r="D27" s="12">
        <f t="shared" si="1"/>
        <v>6</v>
      </c>
      <c r="E27" s="12">
        <v>7.0000000000000007E-2</v>
      </c>
      <c r="F27" s="12">
        <v>86</v>
      </c>
      <c r="G27" s="12">
        <v>8.6</v>
      </c>
      <c r="H27" s="12">
        <v>140</v>
      </c>
      <c r="I27" s="12">
        <v>6.2830000000000004E-3</v>
      </c>
      <c r="J27" s="12">
        <v>137</v>
      </c>
    </row>
    <row r="28" spans="1:11" x14ac:dyDescent="0.3">
      <c r="A28" s="12">
        <v>45</v>
      </c>
      <c r="B28" s="12">
        <v>6</v>
      </c>
      <c r="C28" s="12">
        <f t="shared" si="0"/>
        <v>3</v>
      </c>
      <c r="D28" s="12">
        <f t="shared" si="1"/>
        <v>6</v>
      </c>
      <c r="E28" s="12">
        <v>0.04</v>
      </c>
      <c r="F28" s="12">
        <v>86</v>
      </c>
      <c r="G28" s="12">
        <v>8.4916279069999998</v>
      </c>
      <c r="H28" s="12">
        <v>90</v>
      </c>
      <c r="I28" s="12">
        <v>7.0109999999999999E-3</v>
      </c>
      <c r="J28" s="12">
        <v>99</v>
      </c>
    </row>
    <row r="29" spans="1:11" x14ac:dyDescent="0.3">
      <c r="A29" s="12">
        <v>46</v>
      </c>
      <c r="B29" s="12">
        <v>6</v>
      </c>
      <c r="C29" s="12">
        <f t="shared" si="0"/>
        <v>3</v>
      </c>
      <c r="D29" s="12">
        <f t="shared" si="1"/>
        <v>6</v>
      </c>
      <c r="E29" s="12">
        <v>1.3</v>
      </c>
      <c r="F29" s="12">
        <v>86</v>
      </c>
      <c r="G29" s="12">
        <v>8.5233720930000008</v>
      </c>
      <c r="H29" s="12">
        <v>120</v>
      </c>
      <c r="I29" s="12">
        <v>7.9819999999999995E-3</v>
      </c>
      <c r="J29" s="12">
        <v>118</v>
      </c>
    </row>
    <row r="30" spans="1:11" x14ac:dyDescent="0.3">
      <c r="A30" s="12">
        <v>47</v>
      </c>
      <c r="B30" s="12">
        <v>6</v>
      </c>
      <c r="C30" s="12">
        <f t="shared" si="0"/>
        <v>3</v>
      </c>
      <c r="D30" s="12">
        <f t="shared" si="1"/>
        <v>6</v>
      </c>
      <c r="E30" s="12">
        <v>2.4</v>
      </c>
      <c r="F30" s="12">
        <v>92</v>
      </c>
      <c r="G30" s="12">
        <v>12.17543478</v>
      </c>
      <c r="H30" s="12">
        <v>90</v>
      </c>
      <c r="I30" s="12">
        <v>1.5747000000000001E-2</v>
      </c>
      <c r="J30" s="12">
        <v>86</v>
      </c>
    </row>
    <row r="31" spans="1:11" x14ac:dyDescent="0.3">
      <c r="A31" s="12">
        <v>48</v>
      </c>
      <c r="B31" s="12">
        <v>6</v>
      </c>
      <c r="C31" s="12">
        <f t="shared" si="0"/>
        <v>3</v>
      </c>
      <c r="D31" s="12">
        <f t="shared" si="1"/>
        <v>6</v>
      </c>
      <c r="E31" s="12">
        <v>1.4</v>
      </c>
      <c r="F31" s="12">
        <v>92</v>
      </c>
      <c r="G31" s="12">
        <v>12.17543478</v>
      </c>
      <c r="H31" s="12">
        <v>60</v>
      </c>
      <c r="I31" s="12">
        <v>1.9629000000000001E-2</v>
      </c>
      <c r="J31" s="12">
        <v>52</v>
      </c>
    </row>
    <row r="32" spans="1:11" x14ac:dyDescent="0.3">
      <c r="A32" s="12">
        <v>49</v>
      </c>
      <c r="B32" s="12">
        <v>6</v>
      </c>
      <c r="C32" s="12">
        <f t="shared" si="0"/>
        <v>3</v>
      </c>
      <c r="D32" s="12">
        <f t="shared" si="1"/>
        <v>6</v>
      </c>
      <c r="E32" s="12">
        <v>0.7</v>
      </c>
      <c r="F32" s="12">
        <v>92</v>
      </c>
      <c r="G32" s="12">
        <v>12.29391304</v>
      </c>
      <c r="H32" s="12">
        <v>90</v>
      </c>
      <c r="I32" s="12">
        <v>8.9529999999999992E-3</v>
      </c>
      <c r="J32" s="12">
        <v>86</v>
      </c>
    </row>
    <row r="33" spans="1:10" x14ac:dyDescent="0.3">
      <c r="A33" s="12">
        <v>52</v>
      </c>
      <c r="B33" s="12">
        <v>7.5</v>
      </c>
      <c r="C33" s="12">
        <f t="shared" si="0"/>
        <v>3.75</v>
      </c>
      <c r="D33" s="12">
        <f t="shared" si="1"/>
        <v>7.5</v>
      </c>
      <c r="E33" s="12">
        <v>0.31</v>
      </c>
      <c r="F33" s="12">
        <v>203</v>
      </c>
      <c r="G33" s="12">
        <v>4.8923645320000002</v>
      </c>
      <c r="H33" s="12">
        <v>160</v>
      </c>
      <c r="I33" s="12">
        <v>1.0099E-2</v>
      </c>
      <c r="J33" s="12">
        <v>158</v>
      </c>
    </row>
    <row r="34" spans="1:10" x14ac:dyDescent="0.3">
      <c r="A34" s="12">
        <v>54</v>
      </c>
      <c r="B34" s="12">
        <v>5.5</v>
      </c>
      <c r="C34" s="12">
        <f t="shared" si="0"/>
        <v>2.75</v>
      </c>
      <c r="D34" s="12">
        <f t="shared" si="1"/>
        <v>5.5</v>
      </c>
      <c r="E34" s="12">
        <v>33</v>
      </c>
      <c r="F34" s="12">
        <v>25</v>
      </c>
      <c r="G34" s="12">
        <v>4.2590000000000003</v>
      </c>
      <c r="H34" s="12">
        <v>250</v>
      </c>
      <c r="I34" s="12">
        <v>5.8453999999999999E-2</v>
      </c>
      <c r="J34" s="12">
        <v>246</v>
      </c>
    </row>
    <row r="35" spans="1:10" x14ac:dyDescent="0.3">
      <c r="A35" s="12">
        <v>55</v>
      </c>
      <c r="B35" s="12">
        <v>3.7</v>
      </c>
      <c r="C35" s="12">
        <f t="shared" si="0"/>
        <v>1.85</v>
      </c>
      <c r="D35" s="12">
        <f t="shared" si="1"/>
        <v>3.7</v>
      </c>
      <c r="E35" s="12">
        <v>123</v>
      </c>
      <c r="F35" s="12">
        <v>1402.6</v>
      </c>
      <c r="G35" s="12">
        <v>8.4875000000000007</v>
      </c>
      <c r="H35" s="12">
        <v>200</v>
      </c>
      <c r="I35" s="12">
        <v>4.5310000000000003E-3</v>
      </c>
      <c r="J35" s="12">
        <v>203</v>
      </c>
    </row>
    <row r="36" spans="1:10" x14ac:dyDescent="0.3">
      <c r="A36" s="12">
        <v>56</v>
      </c>
      <c r="B36" s="12">
        <v>3</v>
      </c>
      <c r="C36" s="12">
        <f t="shared" si="0"/>
        <v>1.5</v>
      </c>
      <c r="D36" s="12">
        <f t="shared" si="1"/>
        <v>3</v>
      </c>
      <c r="E36" s="12">
        <v>230</v>
      </c>
      <c r="F36" s="12">
        <v>655.9</v>
      </c>
      <c r="G36" s="12">
        <v>4.7375971950000002</v>
      </c>
      <c r="H36" s="12">
        <v>500</v>
      </c>
      <c r="I36" s="12">
        <v>2.343E-3</v>
      </c>
      <c r="J36" s="12">
        <v>493</v>
      </c>
    </row>
    <row r="37" spans="1:10" x14ac:dyDescent="0.3">
      <c r="A37" s="12">
        <v>57</v>
      </c>
      <c r="B37" s="12">
        <v>5</v>
      </c>
      <c r="C37" s="12">
        <f t="shared" si="0"/>
        <v>2.5</v>
      </c>
      <c r="D37" s="12">
        <f t="shared" si="1"/>
        <v>5</v>
      </c>
      <c r="E37" s="12">
        <v>0.01</v>
      </c>
      <c r="F37" s="12">
        <v>4</v>
      </c>
      <c r="G37" s="12">
        <v>3.08</v>
      </c>
      <c r="H37" s="12">
        <v>100</v>
      </c>
      <c r="I37" s="12">
        <v>4.5849999999999997E-3</v>
      </c>
      <c r="J37" s="12">
        <v>102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F825-BC18-4DBD-ABFC-921123D88B23}">
  <dimension ref="A1:K39"/>
  <sheetViews>
    <sheetView topLeftCell="A42" workbookViewId="0">
      <selection activeCell="A43" sqref="A43:XFD70"/>
    </sheetView>
  </sheetViews>
  <sheetFormatPr defaultRowHeight="14.4" x14ac:dyDescent="0.3"/>
  <cols>
    <col min="4" max="4" width="23.88671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</row>
    <row r="2" spans="1:10" x14ac:dyDescent="0.3">
      <c r="A2" s="12">
        <v>1</v>
      </c>
      <c r="B2" s="12">
        <v>4.5720000000000001</v>
      </c>
      <c r="C2" s="12">
        <f>0.6*B2</f>
        <v>2.7431999999999999</v>
      </c>
      <c r="D2" s="12">
        <f>2*C2</f>
        <v>5.4863999999999997</v>
      </c>
      <c r="E2" s="12">
        <v>3.55</v>
      </c>
      <c r="F2" s="12">
        <v>37.67</v>
      </c>
      <c r="G2" s="12">
        <v>4.477132997</v>
      </c>
      <c r="H2" s="12">
        <v>274.32</v>
      </c>
      <c r="I2" s="12">
        <v>5.5560000000000002E-3</v>
      </c>
      <c r="J2" s="12">
        <v>278</v>
      </c>
    </row>
    <row r="3" spans="1:10" x14ac:dyDescent="0.3">
      <c r="A3" s="12">
        <v>4</v>
      </c>
      <c r="B3" s="12">
        <v>3.048</v>
      </c>
      <c r="C3" s="12">
        <f t="shared" ref="C3:C39" si="0">0.6*B3</f>
        <v>1.8288</v>
      </c>
      <c r="D3" s="12">
        <f t="shared" ref="D3:D39" si="1">2*C3</f>
        <v>3.6576</v>
      </c>
      <c r="E3" s="12">
        <v>43.28</v>
      </c>
      <c r="F3" s="12">
        <v>103.4</v>
      </c>
      <c r="G3" s="12">
        <v>4.6659477760000003</v>
      </c>
      <c r="H3" s="12">
        <v>213.36</v>
      </c>
      <c r="I3" s="12">
        <v>9.8799999999999999E-3</v>
      </c>
      <c r="J3" s="12">
        <v>213</v>
      </c>
    </row>
    <row r="4" spans="1:10" x14ac:dyDescent="0.3">
      <c r="A4" s="12">
        <v>6</v>
      </c>
      <c r="B4" s="12">
        <v>3.81</v>
      </c>
      <c r="C4" s="12">
        <f t="shared" si="0"/>
        <v>2.286</v>
      </c>
      <c r="D4" s="12">
        <f t="shared" si="1"/>
        <v>4.5720000000000001</v>
      </c>
      <c r="E4" s="12">
        <v>4.03</v>
      </c>
      <c r="F4" s="12">
        <v>35.049999999999997</v>
      </c>
      <c r="G4" s="12">
        <v>4.584194009</v>
      </c>
      <c r="H4" s="12">
        <v>91.44</v>
      </c>
      <c r="I4" s="12">
        <v>1.1864E-2</v>
      </c>
      <c r="J4" s="12">
        <v>96</v>
      </c>
    </row>
    <row r="5" spans="1:10" x14ac:dyDescent="0.3">
      <c r="A5" s="12">
        <v>8</v>
      </c>
      <c r="B5" s="12">
        <v>1.524</v>
      </c>
      <c r="C5" s="12">
        <f t="shared" si="0"/>
        <v>0.91439999999999999</v>
      </c>
      <c r="D5" s="12">
        <f t="shared" si="1"/>
        <v>1.8288</v>
      </c>
      <c r="E5" s="12">
        <v>29.64</v>
      </c>
      <c r="F5" s="12">
        <v>113.77</v>
      </c>
      <c r="G5" s="12">
        <v>4.7059998240000001</v>
      </c>
      <c r="H5" s="12">
        <v>76.2</v>
      </c>
      <c r="I5" s="12">
        <v>5.0169999999999998E-3</v>
      </c>
      <c r="J5" s="12">
        <v>74</v>
      </c>
    </row>
    <row r="6" spans="1:10" x14ac:dyDescent="0.3">
      <c r="A6" s="12">
        <v>9</v>
      </c>
      <c r="B6" s="12">
        <v>3.81</v>
      </c>
      <c r="C6" s="12">
        <f t="shared" si="0"/>
        <v>2.286</v>
      </c>
      <c r="D6" s="12">
        <f t="shared" si="1"/>
        <v>4.5720000000000001</v>
      </c>
      <c r="E6" s="12">
        <v>0.68</v>
      </c>
      <c r="F6" s="12">
        <v>68.94</v>
      </c>
      <c r="G6" s="12">
        <v>4.6965506240000003</v>
      </c>
      <c r="H6" s="12">
        <v>106.68</v>
      </c>
      <c r="I6" s="12">
        <v>4.1000000000000003E-3</v>
      </c>
      <c r="J6" s="12">
        <v>100</v>
      </c>
    </row>
    <row r="7" spans="1:10" x14ac:dyDescent="0.3">
      <c r="A7" s="12">
        <v>10</v>
      </c>
      <c r="B7" s="12">
        <v>5.3339999999999996</v>
      </c>
      <c r="C7" s="12">
        <f t="shared" si="0"/>
        <v>3.2003999999999997</v>
      </c>
      <c r="D7" s="12">
        <f t="shared" si="1"/>
        <v>6.4007999999999994</v>
      </c>
      <c r="E7" s="12">
        <v>18.27</v>
      </c>
      <c r="F7" s="12">
        <v>87.41</v>
      </c>
      <c r="G7" s="12">
        <v>4.7078686650000003</v>
      </c>
      <c r="H7" s="12">
        <v>350.52</v>
      </c>
      <c r="I7" s="12">
        <v>1.0099E-2</v>
      </c>
      <c r="J7" s="12">
        <v>346</v>
      </c>
    </row>
    <row r="8" spans="1:10" x14ac:dyDescent="0.3">
      <c r="A8" s="12">
        <v>13</v>
      </c>
      <c r="B8" s="12">
        <v>1.524</v>
      </c>
      <c r="C8" s="12">
        <f t="shared" si="0"/>
        <v>0.91439999999999999</v>
      </c>
      <c r="D8" s="12">
        <f t="shared" si="1"/>
        <v>1.8288</v>
      </c>
      <c r="E8" s="12">
        <v>12.84</v>
      </c>
      <c r="F8" s="12">
        <v>29.26</v>
      </c>
      <c r="G8" s="12">
        <v>4.4282638409999997</v>
      </c>
      <c r="H8" s="12">
        <v>109.72799999999999</v>
      </c>
      <c r="I8" s="12">
        <v>5.0169999999999998E-3</v>
      </c>
      <c r="J8" s="12">
        <v>108</v>
      </c>
    </row>
    <row r="9" spans="1:10" x14ac:dyDescent="0.3">
      <c r="A9" s="12">
        <v>14</v>
      </c>
      <c r="B9" s="12">
        <v>3.81</v>
      </c>
      <c r="C9" s="12">
        <f t="shared" si="0"/>
        <v>2.286</v>
      </c>
      <c r="D9" s="12">
        <f t="shared" si="1"/>
        <v>4.5720000000000001</v>
      </c>
      <c r="E9" s="12">
        <v>8.18</v>
      </c>
      <c r="F9" s="12">
        <v>23.9</v>
      </c>
      <c r="G9" s="12">
        <v>4.2098326359999998</v>
      </c>
      <c r="H9" s="12">
        <v>219.45599999999999</v>
      </c>
      <c r="I9" s="12">
        <v>1.0893999999999999E-2</v>
      </c>
      <c r="J9" s="12">
        <v>226</v>
      </c>
    </row>
    <row r="10" spans="1:10" x14ac:dyDescent="0.3">
      <c r="A10" s="12">
        <v>15</v>
      </c>
      <c r="B10" s="12">
        <v>1.524</v>
      </c>
      <c r="C10" s="12">
        <f t="shared" si="0"/>
        <v>0.91439999999999999</v>
      </c>
      <c r="D10" s="12">
        <f t="shared" si="1"/>
        <v>1.8288</v>
      </c>
      <c r="E10" s="12">
        <v>13.8</v>
      </c>
      <c r="F10" s="12">
        <v>57.76</v>
      </c>
      <c r="G10" s="12">
        <v>4.5061634350000004</v>
      </c>
      <c r="H10" s="12">
        <v>96.012</v>
      </c>
      <c r="I10" s="12">
        <v>3.0720000000000001E-3</v>
      </c>
      <c r="J10" s="12">
        <v>103</v>
      </c>
    </row>
    <row r="11" spans="1:10" x14ac:dyDescent="0.3">
      <c r="A11" s="12">
        <v>16</v>
      </c>
      <c r="B11" s="12">
        <v>3.048</v>
      </c>
      <c r="C11" s="12">
        <f t="shared" si="0"/>
        <v>1.8288</v>
      </c>
      <c r="D11" s="12">
        <f t="shared" si="1"/>
        <v>3.6576</v>
      </c>
      <c r="E11" s="12">
        <v>13.118</v>
      </c>
      <c r="F11" s="12">
        <v>77.8</v>
      </c>
      <c r="G11" s="12">
        <v>4.5751233930000001</v>
      </c>
      <c r="H11" s="12">
        <v>53.34</v>
      </c>
      <c r="I11" s="12">
        <v>1.7661E-2</v>
      </c>
      <c r="J11" s="12">
        <v>58</v>
      </c>
    </row>
    <row r="12" spans="1:10" x14ac:dyDescent="0.3">
      <c r="A12" s="12">
        <v>17</v>
      </c>
      <c r="B12" s="12">
        <v>2.286</v>
      </c>
      <c r="C12" s="12">
        <f t="shared" si="0"/>
        <v>1.3715999999999999</v>
      </c>
      <c r="D12" s="12">
        <f t="shared" si="1"/>
        <v>2.7431999999999999</v>
      </c>
      <c r="E12" s="12">
        <v>84.9</v>
      </c>
      <c r="F12" s="12">
        <v>97.662999999999997</v>
      </c>
      <c r="G12" s="12">
        <v>4.5985767380000002</v>
      </c>
      <c r="H12" s="12">
        <v>128.01599999999999</v>
      </c>
      <c r="I12" s="12">
        <v>2.1551000000000001E-2</v>
      </c>
      <c r="J12" s="12">
        <v>122</v>
      </c>
    </row>
    <row r="13" spans="1:10" x14ac:dyDescent="0.3">
      <c r="A13" s="12">
        <v>19</v>
      </c>
      <c r="B13" s="12">
        <v>4.5720000000000001</v>
      </c>
      <c r="C13" s="12">
        <f t="shared" si="0"/>
        <v>2.7431999999999999</v>
      </c>
      <c r="D13" s="12">
        <f t="shared" si="1"/>
        <v>5.4863999999999997</v>
      </c>
      <c r="E13" s="12">
        <v>49.3</v>
      </c>
      <c r="F13" s="12">
        <v>107.76</v>
      </c>
      <c r="G13" s="12">
        <v>4.6535913139999998</v>
      </c>
      <c r="H13" s="12">
        <v>192.024</v>
      </c>
      <c r="I13" s="12">
        <v>2.7394000000000002E-2</v>
      </c>
      <c r="J13" s="12">
        <v>193</v>
      </c>
    </row>
    <row r="14" spans="1:10" x14ac:dyDescent="0.3">
      <c r="A14" s="12">
        <v>20</v>
      </c>
      <c r="B14" s="12">
        <v>1.524</v>
      </c>
      <c r="C14" s="12">
        <f t="shared" si="0"/>
        <v>0.91439999999999999</v>
      </c>
      <c r="D14" s="12">
        <f t="shared" si="1"/>
        <v>1.8288</v>
      </c>
      <c r="E14" s="12">
        <v>90.21</v>
      </c>
      <c r="F14" s="12">
        <v>90.19</v>
      </c>
      <c r="G14" s="12">
        <v>4.6657567359999996</v>
      </c>
      <c r="H14" s="12">
        <v>60.96</v>
      </c>
      <c r="I14" s="12">
        <v>3.3222000000000002E-2</v>
      </c>
      <c r="J14" s="12">
        <v>51</v>
      </c>
    </row>
    <row r="15" spans="1:10" x14ac:dyDescent="0.3">
      <c r="A15" s="12">
        <v>22</v>
      </c>
      <c r="B15" s="12">
        <v>2.286</v>
      </c>
      <c r="C15" s="12">
        <f t="shared" si="0"/>
        <v>1.3715999999999999</v>
      </c>
      <c r="D15" s="12">
        <f t="shared" si="1"/>
        <v>2.7431999999999999</v>
      </c>
      <c r="E15" s="12">
        <v>20.95</v>
      </c>
      <c r="F15" s="12">
        <v>25.72</v>
      </c>
      <c r="G15" s="12">
        <v>4.2883359250000002</v>
      </c>
      <c r="H15" s="12">
        <v>106.68</v>
      </c>
      <c r="I15" s="12">
        <v>2.1551000000000001E-2</v>
      </c>
      <c r="J15" s="12">
        <v>107</v>
      </c>
    </row>
    <row r="16" spans="1:10" x14ac:dyDescent="0.3">
      <c r="A16" s="12">
        <v>23</v>
      </c>
      <c r="B16" s="12">
        <v>11</v>
      </c>
      <c r="C16" s="12">
        <f t="shared" si="0"/>
        <v>6.6</v>
      </c>
      <c r="D16" s="12">
        <f t="shared" si="1"/>
        <v>13.2</v>
      </c>
      <c r="E16" s="12">
        <v>4.2460000000000004</v>
      </c>
      <c r="F16" s="12">
        <v>63</v>
      </c>
      <c r="G16" s="12">
        <v>4.5537936510000003</v>
      </c>
      <c r="H16" s="12">
        <v>420</v>
      </c>
      <c r="I16" s="12">
        <v>3.4011E-2</v>
      </c>
      <c r="J16" s="12">
        <v>419</v>
      </c>
    </row>
    <row r="17" spans="1:11" x14ac:dyDescent="0.3">
      <c r="A17" s="12">
        <v>26</v>
      </c>
      <c r="B17" s="12">
        <v>4.2671999999999999</v>
      </c>
      <c r="C17" s="12">
        <f t="shared" si="0"/>
        <v>2.5603199999999999</v>
      </c>
      <c r="D17" s="12">
        <f t="shared" si="1"/>
        <v>5.1206399999999999</v>
      </c>
      <c r="E17" s="12">
        <v>25.4</v>
      </c>
      <c r="F17" s="12">
        <v>24.5</v>
      </c>
      <c r="G17" s="12">
        <v>4.4513061220000001</v>
      </c>
      <c r="H17" s="12">
        <v>71.3232</v>
      </c>
      <c r="I17" s="12">
        <v>0.19045599999999999</v>
      </c>
      <c r="J17" s="12">
        <v>72</v>
      </c>
      <c r="K17" s="13" t="s">
        <v>64</v>
      </c>
    </row>
    <row r="18" spans="1:11" x14ac:dyDescent="0.3">
      <c r="A18" s="12">
        <v>29</v>
      </c>
      <c r="B18" s="12">
        <v>1.0669999999999999</v>
      </c>
      <c r="C18" s="12">
        <f t="shared" si="0"/>
        <v>0.64019999999999999</v>
      </c>
      <c r="D18" s="12">
        <f t="shared" si="1"/>
        <v>1.2804</v>
      </c>
      <c r="E18" s="12">
        <v>3.57</v>
      </c>
      <c r="F18" s="12">
        <v>3.88</v>
      </c>
      <c r="G18" s="12">
        <v>5.5311855669999996</v>
      </c>
      <c r="H18" s="12">
        <v>57.302399999999999</v>
      </c>
      <c r="I18" s="12">
        <v>1.7661E-2</v>
      </c>
      <c r="J18" s="12">
        <v>51</v>
      </c>
    </row>
    <row r="19" spans="1:11" x14ac:dyDescent="0.3">
      <c r="A19" s="12">
        <v>31</v>
      </c>
      <c r="B19" s="12">
        <v>4.57</v>
      </c>
      <c r="C19" s="12">
        <f t="shared" si="0"/>
        <v>2.742</v>
      </c>
      <c r="D19" s="12">
        <f t="shared" si="1"/>
        <v>5.484</v>
      </c>
      <c r="E19" s="12">
        <v>9.23</v>
      </c>
      <c r="F19" s="12">
        <v>14.71</v>
      </c>
      <c r="G19" s="12">
        <v>4.5438341260000001</v>
      </c>
      <c r="H19" s="12">
        <v>366</v>
      </c>
      <c r="I19" s="12">
        <v>1.7687999999999999E-2</v>
      </c>
      <c r="J19" s="12">
        <v>373</v>
      </c>
    </row>
    <row r="20" spans="1:11" x14ac:dyDescent="0.3">
      <c r="A20" s="12">
        <v>32</v>
      </c>
      <c r="B20" s="12">
        <v>3.05</v>
      </c>
      <c r="C20" s="12">
        <f t="shared" si="0"/>
        <v>1.8299999999999998</v>
      </c>
      <c r="D20" s="12">
        <f t="shared" si="1"/>
        <v>3.6599999999999997</v>
      </c>
      <c r="E20" s="12">
        <v>2.84</v>
      </c>
      <c r="F20" s="12">
        <v>24.6</v>
      </c>
      <c r="G20" s="12">
        <v>4.9722764230000003</v>
      </c>
      <c r="H20" s="12">
        <v>168</v>
      </c>
      <c r="I20" s="12">
        <v>4.5310000000000003E-3</v>
      </c>
      <c r="J20" s="12">
        <v>164</v>
      </c>
    </row>
    <row r="21" spans="1:11" x14ac:dyDescent="0.3">
      <c r="A21" s="12">
        <v>34</v>
      </c>
      <c r="B21" s="12">
        <v>1.5249999999999999</v>
      </c>
      <c r="C21" s="12">
        <f t="shared" si="0"/>
        <v>0.91499999999999992</v>
      </c>
      <c r="D21" s="12">
        <f t="shared" si="1"/>
        <v>1.8299999999999998</v>
      </c>
      <c r="E21" s="12">
        <v>48.65</v>
      </c>
      <c r="F21" s="12">
        <v>47.59</v>
      </c>
      <c r="G21" s="12">
        <v>5.9281130490000002</v>
      </c>
      <c r="H21" s="12">
        <v>85</v>
      </c>
      <c r="I21" s="12">
        <v>2.5440999999999998E-2</v>
      </c>
      <c r="J21" s="12">
        <v>80</v>
      </c>
    </row>
    <row r="22" spans="1:11" x14ac:dyDescent="0.3">
      <c r="A22" s="12">
        <v>35</v>
      </c>
      <c r="B22" s="12">
        <v>5.335</v>
      </c>
      <c r="C22" s="12">
        <f t="shared" si="0"/>
        <v>3.2010000000000001</v>
      </c>
      <c r="D22" s="12">
        <f t="shared" si="1"/>
        <v>6.4020000000000001</v>
      </c>
      <c r="E22" s="12">
        <v>18.27</v>
      </c>
      <c r="F22" s="12">
        <v>25.45</v>
      </c>
      <c r="G22" s="12">
        <v>5.9700982319999998</v>
      </c>
      <c r="H22" s="12">
        <v>229</v>
      </c>
      <c r="I22" s="12">
        <v>6.4125000000000001E-2</v>
      </c>
      <c r="J22" s="12">
        <v>231</v>
      </c>
    </row>
    <row r="23" spans="1:11" x14ac:dyDescent="0.3">
      <c r="A23" s="12">
        <v>36</v>
      </c>
      <c r="B23" s="12">
        <v>4.57</v>
      </c>
      <c r="C23" s="12">
        <f t="shared" si="0"/>
        <v>2.742</v>
      </c>
      <c r="D23" s="12">
        <f t="shared" si="1"/>
        <v>5.484</v>
      </c>
      <c r="E23" s="12">
        <v>3.23</v>
      </c>
      <c r="F23" s="12">
        <v>41.2</v>
      </c>
      <c r="G23" s="12">
        <v>8.0795631070000002</v>
      </c>
      <c r="H23" s="12">
        <v>198</v>
      </c>
      <c r="I23" s="12">
        <v>8.9529999999999992E-3</v>
      </c>
      <c r="J23" s="12">
        <v>201</v>
      </c>
    </row>
    <row r="24" spans="1:11" x14ac:dyDescent="0.3">
      <c r="A24" s="12">
        <v>37</v>
      </c>
      <c r="B24" s="12">
        <v>7.62</v>
      </c>
      <c r="C24" s="12">
        <f t="shared" si="0"/>
        <v>4.5720000000000001</v>
      </c>
      <c r="D24" s="12">
        <f t="shared" si="1"/>
        <v>9.1440000000000001</v>
      </c>
      <c r="E24" s="12">
        <v>6.01</v>
      </c>
      <c r="F24" s="12">
        <v>31.84</v>
      </c>
      <c r="G24" s="12">
        <v>4.2629616830000003</v>
      </c>
      <c r="H24" s="12">
        <v>853</v>
      </c>
      <c r="I24" s="12">
        <v>1.2511E-2</v>
      </c>
      <c r="J24" s="12">
        <v>862</v>
      </c>
    </row>
    <row r="25" spans="1:11" x14ac:dyDescent="0.3">
      <c r="A25" s="12">
        <v>39</v>
      </c>
      <c r="B25" s="12">
        <v>1.22</v>
      </c>
      <c r="C25" s="12">
        <f t="shared" si="0"/>
        <v>0.73199999999999998</v>
      </c>
      <c r="D25" s="12">
        <f t="shared" si="1"/>
        <v>1.464</v>
      </c>
      <c r="E25" s="12">
        <v>13.8</v>
      </c>
      <c r="F25" s="12">
        <v>36.24</v>
      </c>
      <c r="G25" s="12">
        <v>4.4247516559999998</v>
      </c>
      <c r="H25" s="12">
        <v>64</v>
      </c>
      <c r="I25" s="12">
        <v>5.9899999999999997E-3</v>
      </c>
      <c r="J25" s="12">
        <v>54</v>
      </c>
    </row>
    <row r="26" spans="1:11" x14ac:dyDescent="0.3">
      <c r="A26" s="12">
        <v>40</v>
      </c>
      <c r="B26" s="12">
        <v>8.3800000000000008</v>
      </c>
      <c r="C26" s="12">
        <f t="shared" si="0"/>
        <v>5.0280000000000005</v>
      </c>
      <c r="D26" s="12">
        <f t="shared" si="1"/>
        <v>10.056000000000001</v>
      </c>
      <c r="E26" s="12">
        <v>32.56</v>
      </c>
      <c r="F26" s="12">
        <v>25.97</v>
      </c>
      <c r="G26" s="12">
        <v>4.1008058180000004</v>
      </c>
      <c r="H26" s="12">
        <v>244</v>
      </c>
      <c r="I26" s="12">
        <v>0.16952100000000001</v>
      </c>
      <c r="J26" s="12">
        <v>247</v>
      </c>
      <c r="K26" s="13" t="s">
        <v>64</v>
      </c>
    </row>
    <row r="27" spans="1:11" x14ac:dyDescent="0.3">
      <c r="A27" s="12">
        <v>41</v>
      </c>
      <c r="B27" s="12">
        <v>4.57</v>
      </c>
      <c r="C27" s="12">
        <f t="shared" si="0"/>
        <v>2.742</v>
      </c>
      <c r="D27" s="12">
        <f t="shared" si="1"/>
        <v>5.484</v>
      </c>
      <c r="E27" s="12">
        <v>15.6</v>
      </c>
      <c r="F27" s="12">
        <v>25.44</v>
      </c>
      <c r="G27" s="12">
        <v>4.1008058180000004</v>
      </c>
      <c r="H27" s="12">
        <v>549</v>
      </c>
      <c r="I27" s="12">
        <v>1.0409E-2</v>
      </c>
      <c r="J27" s="12">
        <v>545</v>
      </c>
    </row>
    <row r="28" spans="1:11" x14ac:dyDescent="0.3">
      <c r="A28" s="12">
        <v>42</v>
      </c>
      <c r="B28" s="12">
        <v>3.05</v>
      </c>
      <c r="C28" s="12">
        <f t="shared" si="0"/>
        <v>1.8299999999999998</v>
      </c>
      <c r="D28" s="12">
        <f t="shared" si="1"/>
        <v>3.6599999999999997</v>
      </c>
      <c r="E28" s="12">
        <v>9.23</v>
      </c>
      <c r="F28" s="12">
        <v>17.14</v>
      </c>
      <c r="G28" s="12">
        <v>4.0302742120000001</v>
      </c>
      <c r="H28" s="12">
        <v>152</v>
      </c>
      <c r="I28" s="12">
        <v>1.5716000000000001E-2</v>
      </c>
      <c r="J28" s="12">
        <v>154</v>
      </c>
    </row>
    <row r="29" spans="1:11" x14ac:dyDescent="0.3">
      <c r="A29" s="12">
        <v>43</v>
      </c>
      <c r="B29" s="12">
        <v>1.83</v>
      </c>
      <c r="C29" s="12">
        <f t="shared" si="0"/>
        <v>1.0980000000000001</v>
      </c>
      <c r="D29" s="12">
        <f t="shared" si="1"/>
        <v>2.1960000000000002</v>
      </c>
      <c r="E29" s="12">
        <v>3.13</v>
      </c>
      <c r="F29" s="12">
        <v>28.55</v>
      </c>
      <c r="G29" s="12">
        <v>4.3490367780000003</v>
      </c>
      <c r="H29" s="12">
        <v>96</v>
      </c>
      <c r="I29" s="12">
        <v>2.5860000000000002E-3</v>
      </c>
      <c r="J29" s="12">
        <v>92</v>
      </c>
    </row>
    <row r="30" spans="1:11" x14ac:dyDescent="0.3">
      <c r="A30" s="12">
        <v>45</v>
      </c>
      <c r="B30" s="12">
        <v>6</v>
      </c>
      <c r="C30" s="12">
        <f t="shared" si="0"/>
        <v>3.5999999999999996</v>
      </c>
      <c r="D30" s="12">
        <f t="shared" si="1"/>
        <v>7.1999999999999993</v>
      </c>
      <c r="E30" s="12">
        <v>0.04</v>
      </c>
      <c r="F30" s="12">
        <v>86</v>
      </c>
      <c r="G30" s="12">
        <v>8.4916279069999998</v>
      </c>
      <c r="H30" s="12">
        <v>90</v>
      </c>
      <c r="I30" s="12">
        <v>1.1063999999999999E-2</v>
      </c>
      <c r="J30" s="12">
        <v>90</v>
      </c>
    </row>
    <row r="31" spans="1:11" x14ac:dyDescent="0.3">
      <c r="A31" s="12">
        <v>46</v>
      </c>
      <c r="B31" s="12">
        <v>6</v>
      </c>
      <c r="C31" s="12">
        <f t="shared" si="0"/>
        <v>3.5999999999999996</v>
      </c>
      <c r="D31" s="12">
        <f t="shared" si="1"/>
        <v>7.1999999999999993</v>
      </c>
      <c r="E31" s="12">
        <v>1.3</v>
      </c>
      <c r="F31" s="12">
        <v>86</v>
      </c>
      <c r="G31" s="12">
        <v>8.5233720930000008</v>
      </c>
      <c r="H31" s="12">
        <v>120</v>
      </c>
      <c r="I31" s="12">
        <v>1.2028E-2</v>
      </c>
      <c r="J31" s="12">
        <v>115</v>
      </c>
    </row>
    <row r="32" spans="1:11" x14ac:dyDescent="0.3">
      <c r="A32" s="12">
        <v>47</v>
      </c>
      <c r="B32" s="12">
        <v>6</v>
      </c>
      <c r="C32" s="12">
        <f t="shared" si="0"/>
        <v>3.5999999999999996</v>
      </c>
      <c r="D32" s="12">
        <f t="shared" si="1"/>
        <v>7.1999999999999993</v>
      </c>
      <c r="E32" s="12">
        <v>2.4</v>
      </c>
      <c r="F32" s="12">
        <v>92</v>
      </c>
      <c r="G32" s="12">
        <v>12.17543478</v>
      </c>
      <c r="H32" s="12">
        <v>90</v>
      </c>
      <c r="I32" s="12">
        <v>2.1676000000000001E-2</v>
      </c>
      <c r="J32" s="12">
        <v>92</v>
      </c>
    </row>
    <row r="33" spans="1:10" x14ac:dyDescent="0.3">
      <c r="A33" s="12">
        <v>48</v>
      </c>
      <c r="B33" s="12">
        <v>6</v>
      </c>
      <c r="C33" s="12">
        <f t="shared" si="0"/>
        <v>3.5999999999999996</v>
      </c>
      <c r="D33" s="12">
        <f t="shared" si="1"/>
        <v>7.1999999999999993</v>
      </c>
      <c r="E33" s="12">
        <v>1.4</v>
      </c>
      <c r="F33" s="12">
        <v>92</v>
      </c>
      <c r="G33" s="12">
        <v>12.17543478</v>
      </c>
      <c r="H33" s="12">
        <v>60</v>
      </c>
      <c r="I33" s="12">
        <v>2.5534999999999999E-2</v>
      </c>
      <c r="J33" s="12">
        <v>57</v>
      </c>
    </row>
    <row r="34" spans="1:10" x14ac:dyDescent="0.3">
      <c r="A34" s="12">
        <v>49</v>
      </c>
      <c r="B34" s="12">
        <v>6</v>
      </c>
      <c r="C34" s="12">
        <f t="shared" si="0"/>
        <v>3.5999999999999996</v>
      </c>
      <c r="D34" s="12">
        <f t="shared" si="1"/>
        <v>7.1999999999999993</v>
      </c>
      <c r="E34" s="12">
        <v>0.7</v>
      </c>
      <c r="F34" s="12">
        <v>92</v>
      </c>
      <c r="G34" s="12">
        <v>12.29391304</v>
      </c>
      <c r="H34" s="12">
        <v>90</v>
      </c>
      <c r="I34" s="12">
        <v>1.3958E-2</v>
      </c>
      <c r="J34" s="12">
        <v>80</v>
      </c>
    </row>
    <row r="35" spans="1:10" x14ac:dyDescent="0.3">
      <c r="A35" s="12">
        <v>52</v>
      </c>
      <c r="B35" s="12">
        <v>7.5</v>
      </c>
      <c r="C35" s="12">
        <f t="shared" si="0"/>
        <v>4.5</v>
      </c>
      <c r="D35" s="12">
        <f t="shared" si="1"/>
        <v>9</v>
      </c>
      <c r="E35" s="12">
        <v>0.31</v>
      </c>
      <c r="F35" s="12">
        <v>203</v>
      </c>
      <c r="G35" s="12">
        <v>4.8923645320000002</v>
      </c>
      <c r="H35" s="12">
        <v>160</v>
      </c>
      <c r="I35" s="12">
        <v>1.5405E-2</v>
      </c>
      <c r="J35" s="12">
        <v>164</v>
      </c>
    </row>
    <row r="36" spans="1:10" x14ac:dyDescent="0.3">
      <c r="A36" s="12">
        <v>54</v>
      </c>
      <c r="B36" s="12">
        <v>5.5</v>
      </c>
      <c r="C36" s="12">
        <f t="shared" si="0"/>
        <v>3.3</v>
      </c>
      <c r="D36" s="12">
        <f t="shared" si="1"/>
        <v>6.6</v>
      </c>
      <c r="E36" s="12">
        <v>33</v>
      </c>
      <c r="F36" s="12">
        <v>25</v>
      </c>
      <c r="G36" s="12">
        <v>4.2590000000000003</v>
      </c>
      <c r="H36" s="12">
        <v>250</v>
      </c>
      <c r="I36" s="12">
        <v>8.7278999999999995E-2</v>
      </c>
      <c r="J36" s="12">
        <v>243</v>
      </c>
    </row>
    <row r="37" spans="1:10" x14ac:dyDescent="0.3">
      <c r="A37" s="12">
        <v>55</v>
      </c>
      <c r="B37" s="12">
        <v>3.7</v>
      </c>
      <c r="C37" s="12">
        <f t="shared" si="0"/>
        <v>2.2200000000000002</v>
      </c>
      <c r="D37" s="12">
        <f t="shared" si="1"/>
        <v>4.4400000000000004</v>
      </c>
      <c r="E37" s="12">
        <v>123</v>
      </c>
      <c r="F37" s="12">
        <v>1402.6</v>
      </c>
      <c r="G37" s="12">
        <v>8.4875000000000007</v>
      </c>
      <c r="H37" s="12">
        <v>200</v>
      </c>
      <c r="I37" s="12">
        <v>7.0109999999999999E-3</v>
      </c>
      <c r="J37" s="12">
        <v>190</v>
      </c>
    </row>
    <row r="38" spans="1:10" x14ac:dyDescent="0.3">
      <c r="A38" s="12">
        <v>56</v>
      </c>
      <c r="B38" s="12">
        <v>3</v>
      </c>
      <c r="C38" s="12">
        <f t="shared" si="0"/>
        <v>1.7999999999999998</v>
      </c>
      <c r="D38" s="12">
        <f t="shared" si="1"/>
        <v>3.5999999999999996</v>
      </c>
      <c r="E38" s="12">
        <v>230</v>
      </c>
      <c r="F38" s="12">
        <v>655.9</v>
      </c>
      <c r="G38" s="12">
        <v>4.7375971950000002</v>
      </c>
      <c r="H38" s="12">
        <v>500</v>
      </c>
      <c r="I38" s="12">
        <v>3.3149999999999998E-3</v>
      </c>
      <c r="J38" s="12">
        <v>503</v>
      </c>
    </row>
    <row r="39" spans="1:10" x14ac:dyDescent="0.3">
      <c r="A39" s="12">
        <v>57</v>
      </c>
      <c r="B39" s="12">
        <v>5</v>
      </c>
      <c r="C39" s="12">
        <f t="shared" si="0"/>
        <v>3</v>
      </c>
      <c r="D39" s="12">
        <f t="shared" si="1"/>
        <v>6</v>
      </c>
      <c r="E39" s="12">
        <v>0.01</v>
      </c>
      <c r="F39" s="12">
        <v>4</v>
      </c>
      <c r="G39" s="12">
        <v>3.08</v>
      </c>
      <c r="H39" s="12">
        <v>100</v>
      </c>
      <c r="I39" s="12">
        <v>7.0109999999999999E-3</v>
      </c>
      <c r="J39" s="12">
        <v>101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E165-AC24-471B-A367-EF29FDB7C9A0}">
  <dimension ref="A1:K45"/>
  <sheetViews>
    <sheetView topLeftCell="A46" workbookViewId="0">
      <selection activeCell="A49" sqref="A49:XFD67"/>
    </sheetView>
  </sheetViews>
  <sheetFormatPr defaultRowHeight="14.4" x14ac:dyDescent="0.3"/>
  <cols>
    <col min="4" max="4" width="19.1093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</row>
    <row r="2" spans="1:10" x14ac:dyDescent="0.3">
      <c r="A2" s="12">
        <v>1</v>
      </c>
      <c r="B2" s="12">
        <v>4.5720000000000001</v>
      </c>
      <c r="C2" s="12">
        <f>0.8*B2</f>
        <v>3.6576000000000004</v>
      </c>
      <c r="D2" s="12">
        <f>2*C2</f>
        <v>7.3152000000000008</v>
      </c>
      <c r="E2" s="12">
        <v>3.55</v>
      </c>
      <c r="F2" s="12">
        <v>37.67</v>
      </c>
      <c r="G2" s="12">
        <v>4.477132997</v>
      </c>
      <c r="H2" s="12">
        <v>274.32</v>
      </c>
      <c r="I2" s="12">
        <v>1.0581E-2</v>
      </c>
      <c r="J2" s="12">
        <v>272</v>
      </c>
    </row>
    <row r="3" spans="1:10" x14ac:dyDescent="0.3">
      <c r="A3" s="12">
        <v>2</v>
      </c>
      <c r="B3" s="12">
        <v>1.524</v>
      </c>
      <c r="C3" s="12">
        <f t="shared" ref="C3:C45" si="0">0.8*B3</f>
        <v>1.2192000000000001</v>
      </c>
      <c r="D3" s="12">
        <f t="shared" ref="D3:D45" si="1">2*C3</f>
        <v>2.4384000000000001</v>
      </c>
      <c r="E3" s="12">
        <v>28</v>
      </c>
      <c r="F3" s="12">
        <v>106.35</v>
      </c>
      <c r="G3" s="12">
        <v>4.6467418900000004</v>
      </c>
      <c r="H3" s="12">
        <v>228.6</v>
      </c>
      <c r="I3" s="12">
        <v>2.5860000000000002E-3</v>
      </c>
      <c r="J3" s="12">
        <v>232</v>
      </c>
    </row>
    <row r="4" spans="1:10" x14ac:dyDescent="0.3">
      <c r="A4" s="12">
        <v>4</v>
      </c>
      <c r="B4" s="12">
        <v>3.048</v>
      </c>
      <c r="C4" s="12">
        <f t="shared" si="0"/>
        <v>2.4384000000000001</v>
      </c>
      <c r="D4" s="12">
        <f t="shared" si="1"/>
        <v>4.8768000000000002</v>
      </c>
      <c r="E4" s="12">
        <v>43.28</v>
      </c>
      <c r="F4" s="12">
        <v>103.4</v>
      </c>
      <c r="G4" s="12">
        <v>4.6659477760000003</v>
      </c>
      <c r="H4" s="12">
        <v>213.36</v>
      </c>
      <c r="I4" s="12">
        <v>1.7687999999999999E-2</v>
      </c>
      <c r="J4" s="12">
        <v>214</v>
      </c>
    </row>
    <row r="5" spans="1:10" x14ac:dyDescent="0.3">
      <c r="A5" s="12">
        <v>6</v>
      </c>
      <c r="B5" s="12">
        <v>3.81</v>
      </c>
      <c r="C5" s="12">
        <f t="shared" si="0"/>
        <v>3.048</v>
      </c>
      <c r="D5" s="12">
        <f t="shared" si="1"/>
        <v>6.0960000000000001</v>
      </c>
      <c r="E5" s="12">
        <v>4.03</v>
      </c>
      <c r="F5" s="12">
        <v>35.049999999999997</v>
      </c>
      <c r="G5" s="12">
        <v>4.584194009</v>
      </c>
      <c r="H5" s="12">
        <v>91.44</v>
      </c>
      <c r="I5" s="12">
        <v>2.3512000000000002E-2</v>
      </c>
      <c r="J5" s="12">
        <v>88</v>
      </c>
    </row>
    <row r="6" spans="1:10" x14ac:dyDescent="0.3">
      <c r="A6" s="12">
        <v>7</v>
      </c>
      <c r="B6" s="12">
        <v>2.286</v>
      </c>
      <c r="C6" s="12">
        <f t="shared" si="0"/>
        <v>1.8288000000000002</v>
      </c>
      <c r="D6" s="12">
        <f t="shared" si="1"/>
        <v>3.6576000000000004</v>
      </c>
      <c r="E6" s="12">
        <v>14.1</v>
      </c>
      <c r="F6" s="12">
        <v>1004.04</v>
      </c>
      <c r="G6" s="12">
        <v>4.7250808729999996</v>
      </c>
      <c r="H6" s="12">
        <v>146.304</v>
      </c>
      <c r="I6" s="12">
        <v>2.0999999999999999E-3</v>
      </c>
      <c r="J6" s="12">
        <v>148</v>
      </c>
    </row>
    <row r="7" spans="1:10" x14ac:dyDescent="0.3">
      <c r="A7" s="12">
        <v>8</v>
      </c>
      <c r="B7" s="12">
        <v>1.524</v>
      </c>
      <c r="C7" s="12">
        <f t="shared" si="0"/>
        <v>1.2192000000000001</v>
      </c>
      <c r="D7" s="12">
        <f t="shared" si="1"/>
        <v>2.4384000000000001</v>
      </c>
      <c r="E7" s="12">
        <v>29.64</v>
      </c>
      <c r="F7" s="12">
        <v>113.77</v>
      </c>
      <c r="G7" s="12">
        <v>4.7059998240000001</v>
      </c>
      <c r="H7" s="12">
        <v>76.2</v>
      </c>
      <c r="I7" s="12">
        <v>9.8799999999999999E-3</v>
      </c>
      <c r="J7" s="12">
        <v>68</v>
      </c>
    </row>
    <row r="8" spans="1:10" x14ac:dyDescent="0.3">
      <c r="A8" s="12">
        <v>9</v>
      </c>
      <c r="B8" s="12">
        <v>3.81</v>
      </c>
      <c r="C8" s="12">
        <f t="shared" si="0"/>
        <v>3.048</v>
      </c>
      <c r="D8" s="12">
        <f t="shared" si="1"/>
        <v>6.0960000000000001</v>
      </c>
      <c r="E8" s="12">
        <v>0.68</v>
      </c>
      <c r="F8" s="12">
        <v>68.94</v>
      </c>
      <c r="G8" s="12">
        <v>4.6965506240000003</v>
      </c>
      <c r="H8" s="12">
        <v>106.68</v>
      </c>
      <c r="I8" s="12">
        <v>7.4970000000000002E-3</v>
      </c>
      <c r="J8" s="12">
        <v>109</v>
      </c>
    </row>
    <row r="9" spans="1:10" x14ac:dyDescent="0.3">
      <c r="A9" s="12">
        <v>10</v>
      </c>
      <c r="B9" s="12">
        <v>5.3339999999999996</v>
      </c>
      <c r="C9" s="12">
        <f t="shared" si="0"/>
        <v>4.2671999999999999</v>
      </c>
      <c r="D9" s="12">
        <f t="shared" si="1"/>
        <v>8.5343999999999998</v>
      </c>
      <c r="E9" s="12">
        <v>18.27</v>
      </c>
      <c r="F9" s="12">
        <v>87.41</v>
      </c>
      <c r="G9" s="12">
        <v>4.7078686650000003</v>
      </c>
      <c r="H9" s="12">
        <v>350.52</v>
      </c>
      <c r="I9" s="12">
        <v>1.8298999999999999E-2</v>
      </c>
      <c r="J9" s="12">
        <v>350</v>
      </c>
    </row>
    <row r="10" spans="1:10" x14ac:dyDescent="0.3">
      <c r="A10" s="12">
        <v>13</v>
      </c>
      <c r="B10" s="12">
        <v>1.524</v>
      </c>
      <c r="C10" s="12">
        <f t="shared" si="0"/>
        <v>1.2192000000000001</v>
      </c>
      <c r="D10" s="12">
        <f t="shared" si="1"/>
        <v>2.4384000000000001</v>
      </c>
      <c r="E10" s="12">
        <v>12.84</v>
      </c>
      <c r="F10" s="12">
        <v>29.26</v>
      </c>
      <c r="G10" s="12">
        <v>4.4282638409999997</v>
      </c>
      <c r="H10" s="12">
        <v>109.72799999999999</v>
      </c>
      <c r="I10" s="12">
        <v>9.8799999999999999E-3</v>
      </c>
      <c r="J10" s="12">
        <v>100</v>
      </c>
    </row>
    <row r="11" spans="1:10" x14ac:dyDescent="0.3">
      <c r="A11" s="12">
        <v>14</v>
      </c>
      <c r="B11" s="12">
        <v>3.81</v>
      </c>
      <c r="C11" s="12">
        <f t="shared" si="0"/>
        <v>3.048</v>
      </c>
      <c r="D11" s="12">
        <f t="shared" si="1"/>
        <v>6.0960000000000001</v>
      </c>
      <c r="E11" s="12">
        <v>8.18</v>
      </c>
      <c r="F11" s="12">
        <v>23.9</v>
      </c>
      <c r="G11" s="12">
        <v>4.2098326359999998</v>
      </c>
      <c r="H11" s="12">
        <v>219.45599999999999</v>
      </c>
      <c r="I11" s="12">
        <v>1.9629000000000001E-2</v>
      </c>
      <c r="J11" s="12">
        <v>227</v>
      </c>
    </row>
    <row r="12" spans="1:10" x14ac:dyDescent="0.3">
      <c r="A12" s="12">
        <v>15</v>
      </c>
      <c r="B12" s="12">
        <v>1.524</v>
      </c>
      <c r="C12" s="12">
        <f t="shared" si="0"/>
        <v>1.2192000000000001</v>
      </c>
      <c r="D12" s="12">
        <f t="shared" si="1"/>
        <v>2.4384000000000001</v>
      </c>
      <c r="E12" s="12">
        <v>13.8</v>
      </c>
      <c r="F12" s="12">
        <v>57.76</v>
      </c>
      <c r="G12" s="12">
        <v>4.5061634350000004</v>
      </c>
      <c r="H12" s="12">
        <v>96.012</v>
      </c>
      <c r="I12" s="12">
        <v>5.9899999999999997E-3</v>
      </c>
      <c r="J12" s="12">
        <v>95</v>
      </c>
    </row>
    <row r="13" spans="1:10" x14ac:dyDescent="0.3">
      <c r="A13" s="12">
        <v>16</v>
      </c>
      <c r="B13" s="12">
        <v>3.048</v>
      </c>
      <c r="C13" s="12">
        <f t="shared" si="0"/>
        <v>2.4384000000000001</v>
      </c>
      <c r="D13" s="12">
        <f t="shared" si="1"/>
        <v>4.8768000000000002</v>
      </c>
      <c r="E13" s="12">
        <v>13.118</v>
      </c>
      <c r="F13" s="12">
        <v>77.8</v>
      </c>
      <c r="G13" s="12">
        <v>4.5751233930000001</v>
      </c>
      <c r="H13" s="12">
        <v>53.34</v>
      </c>
      <c r="I13" s="12">
        <v>3.5159000000000003E-2</v>
      </c>
      <c r="J13" s="12">
        <v>54</v>
      </c>
    </row>
    <row r="14" spans="1:10" x14ac:dyDescent="0.3">
      <c r="A14" s="12">
        <v>17</v>
      </c>
      <c r="B14" s="12">
        <v>2.286</v>
      </c>
      <c r="C14" s="12">
        <f t="shared" si="0"/>
        <v>1.8288000000000002</v>
      </c>
      <c r="D14" s="12">
        <f t="shared" si="1"/>
        <v>3.6576000000000004</v>
      </c>
      <c r="E14" s="12">
        <v>84.9</v>
      </c>
      <c r="F14" s="12">
        <v>97.662999999999997</v>
      </c>
      <c r="G14" s="12">
        <v>4.5985767380000002</v>
      </c>
      <c r="H14" s="12">
        <v>128.01599999999999</v>
      </c>
      <c r="I14" s="12">
        <v>3.7111999999999999E-2</v>
      </c>
      <c r="J14" s="12">
        <v>128</v>
      </c>
    </row>
    <row r="15" spans="1:10" x14ac:dyDescent="0.3">
      <c r="A15" s="12">
        <v>18</v>
      </c>
      <c r="B15" s="12">
        <v>3.81</v>
      </c>
      <c r="C15" s="12">
        <f t="shared" si="0"/>
        <v>3.048</v>
      </c>
      <c r="D15" s="12">
        <f t="shared" si="1"/>
        <v>6.0960000000000001</v>
      </c>
      <c r="E15" s="12">
        <v>22.9</v>
      </c>
      <c r="F15" s="12">
        <v>90.85</v>
      </c>
      <c r="G15" s="12">
        <v>4.6255365990000001</v>
      </c>
      <c r="H15" s="12">
        <v>914.4</v>
      </c>
      <c r="I15" s="12">
        <v>5.0699999999999999E-3</v>
      </c>
      <c r="J15" s="12">
        <v>912</v>
      </c>
    </row>
    <row r="16" spans="1:10" x14ac:dyDescent="0.3">
      <c r="A16" s="12">
        <v>19</v>
      </c>
      <c r="B16" s="12">
        <v>4.5720000000000001</v>
      </c>
      <c r="C16" s="12">
        <f t="shared" si="0"/>
        <v>3.6576000000000004</v>
      </c>
      <c r="D16" s="12">
        <f t="shared" si="1"/>
        <v>7.3152000000000008</v>
      </c>
      <c r="E16" s="12">
        <v>49.3</v>
      </c>
      <c r="F16" s="12">
        <v>107.76</v>
      </c>
      <c r="G16" s="12">
        <v>4.6535913139999998</v>
      </c>
      <c r="H16" s="12">
        <v>192.024</v>
      </c>
      <c r="I16" s="12">
        <v>4.8689000000000003E-2</v>
      </c>
      <c r="J16" s="12">
        <v>197</v>
      </c>
    </row>
    <row r="17" spans="1:11" x14ac:dyDescent="0.3">
      <c r="A17" s="12">
        <v>20</v>
      </c>
      <c r="B17" s="12">
        <v>1.524</v>
      </c>
      <c r="C17" s="12">
        <f t="shared" si="0"/>
        <v>1.2192000000000001</v>
      </c>
      <c r="D17" s="12">
        <f t="shared" si="1"/>
        <v>2.4384000000000001</v>
      </c>
      <c r="E17" s="12">
        <v>90.21</v>
      </c>
      <c r="F17" s="12">
        <v>90.19</v>
      </c>
      <c r="G17" s="12">
        <v>4.6657567359999996</v>
      </c>
      <c r="H17" s="12">
        <v>60.96</v>
      </c>
      <c r="I17" s="12">
        <v>4.8783E-2</v>
      </c>
      <c r="J17" s="12">
        <v>60</v>
      </c>
    </row>
    <row r="18" spans="1:11" x14ac:dyDescent="0.3">
      <c r="A18" s="12">
        <v>21</v>
      </c>
      <c r="B18" s="12">
        <v>2.286</v>
      </c>
      <c r="C18" s="12">
        <f t="shared" si="0"/>
        <v>1.8288000000000002</v>
      </c>
      <c r="D18" s="12">
        <f t="shared" si="1"/>
        <v>3.6576000000000004</v>
      </c>
      <c r="E18" s="12">
        <v>0.46899999999999997</v>
      </c>
      <c r="F18" s="12">
        <v>454.56</v>
      </c>
      <c r="G18" s="12">
        <v>4.6953819079999999</v>
      </c>
      <c r="H18" s="12">
        <v>60.96</v>
      </c>
      <c r="I18" s="12">
        <v>2.8289999999999999E-3</v>
      </c>
      <c r="J18" s="12">
        <v>59</v>
      </c>
    </row>
    <row r="19" spans="1:11" x14ac:dyDescent="0.3">
      <c r="A19" s="12">
        <v>22</v>
      </c>
      <c r="B19" s="12">
        <v>2.286</v>
      </c>
      <c r="C19" s="12">
        <f t="shared" si="0"/>
        <v>1.8288000000000002</v>
      </c>
      <c r="D19" s="12">
        <f t="shared" si="1"/>
        <v>3.6576000000000004</v>
      </c>
      <c r="E19" s="12">
        <v>20.95</v>
      </c>
      <c r="F19" s="12">
        <v>25.72</v>
      </c>
      <c r="G19" s="12">
        <v>4.2883359250000002</v>
      </c>
      <c r="H19" s="12">
        <v>106.68</v>
      </c>
      <c r="I19" s="12">
        <v>4.1001999999999997E-2</v>
      </c>
      <c r="J19" s="12">
        <v>104</v>
      </c>
    </row>
    <row r="20" spans="1:11" x14ac:dyDescent="0.3">
      <c r="A20" s="12">
        <v>23</v>
      </c>
      <c r="B20" s="12">
        <v>11</v>
      </c>
      <c r="C20" s="12">
        <f t="shared" si="0"/>
        <v>8.8000000000000007</v>
      </c>
      <c r="D20" s="12">
        <f t="shared" si="1"/>
        <v>17.600000000000001</v>
      </c>
      <c r="E20" s="12">
        <v>4.2460000000000004</v>
      </c>
      <c r="F20" s="12">
        <v>63</v>
      </c>
      <c r="G20" s="12">
        <v>4.5537936510000003</v>
      </c>
      <c r="H20" s="12">
        <v>420</v>
      </c>
      <c r="I20" s="12">
        <v>6.9095000000000004E-2</v>
      </c>
      <c r="J20" s="12">
        <v>423</v>
      </c>
    </row>
    <row r="21" spans="1:11" x14ac:dyDescent="0.3">
      <c r="A21" s="12">
        <v>26</v>
      </c>
      <c r="B21" s="12">
        <v>4.2671999999999999</v>
      </c>
      <c r="C21" s="12">
        <f t="shared" si="0"/>
        <v>3.4137599999999999</v>
      </c>
      <c r="D21" s="12">
        <f t="shared" si="1"/>
        <v>6.8275199999999998</v>
      </c>
      <c r="E21" s="12">
        <v>25.4</v>
      </c>
      <c r="F21" s="12">
        <v>24.5</v>
      </c>
      <c r="G21" s="12">
        <v>4.4513061220000001</v>
      </c>
      <c r="H21" s="12">
        <v>71.3232</v>
      </c>
      <c r="I21" s="12">
        <v>0.38056200000000001</v>
      </c>
      <c r="J21" s="12">
        <v>71</v>
      </c>
      <c r="K21" s="13" t="s">
        <v>64</v>
      </c>
    </row>
    <row r="22" spans="1:11" x14ac:dyDescent="0.3">
      <c r="A22" s="12">
        <v>29</v>
      </c>
      <c r="B22" s="12">
        <v>1.0669999999999999</v>
      </c>
      <c r="C22" s="12">
        <f t="shared" si="0"/>
        <v>0.85360000000000003</v>
      </c>
      <c r="D22" s="12">
        <f t="shared" si="1"/>
        <v>1.7072000000000001</v>
      </c>
      <c r="E22" s="12">
        <v>3.57</v>
      </c>
      <c r="F22" s="12">
        <v>3.88</v>
      </c>
      <c r="G22" s="12">
        <v>5.5311855669999996</v>
      </c>
      <c r="H22" s="12">
        <v>57.302399999999999</v>
      </c>
      <c r="I22" s="12">
        <v>3.3222000000000002E-2</v>
      </c>
      <c r="J22" s="12">
        <v>49</v>
      </c>
    </row>
    <row r="23" spans="1:11" x14ac:dyDescent="0.3">
      <c r="A23" s="12">
        <v>30</v>
      </c>
      <c r="B23" s="12">
        <v>1.5249999999999999</v>
      </c>
      <c r="C23" s="12">
        <f t="shared" si="0"/>
        <v>1.22</v>
      </c>
      <c r="D23" s="12">
        <f t="shared" si="1"/>
        <v>2.44</v>
      </c>
      <c r="E23" s="12">
        <v>5.22</v>
      </c>
      <c r="F23" s="12">
        <v>27.61</v>
      </c>
      <c r="G23" s="12">
        <v>4.467656646</v>
      </c>
      <c r="H23" s="12">
        <v>152</v>
      </c>
      <c r="I23" s="12">
        <v>3.0720000000000001E-3</v>
      </c>
      <c r="J23" s="12">
        <v>142</v>
      </c>
    </row>
    <row r="24" spans="1:11" x14ac:dyDescent="0.3">
      <c r="A24" s="12">
        <v>31</v>
      </c>
      <c r="B24" s="12">
        <v>4.57</v>
      </c>
      <c r="C24" s="12">
        <f t="shared" si="0"/>
        <v>3.6560000000000006</v>
      </c>
      <c r="D24" s="12">
        <f t="shared" si="1"/>
        <v>7.3120000000000012</v>
      </c>
      <c r="E24" s="12">
        <v>9.23</v>
      </c>
      <c r="F24" s="12">
        <v>14.71</v>
      </c>
      <c r="G24" s="12">
        <v>4.5438341260000001</v>
      </c>
      <c r="H24" s="12">
        <v>366</v>
      </c>
      <c r="I24" s="12">
        <v>3.3252999999999998E-2</v>
      </c>
      <c r="J24" s="12">
        <v>359</v>
      </c>
    </row>
    <row r="25" spans="1:11" x14ac:dyDescent="0.3">
      <c r="A25" s="12">
        <v>32</v>
      </c>
      <c r="B25" s="12">
        <v>3.05</v>
      </c>
      <c r="C25" s="12">
        <f t="shared" si="0"/>
        <v>2.44</v>
      </c>
      <c r="D25" s="12">
        <f t="shared" si="1"/>
        <v>4.88</v>
      </c>
      <c r="E25" s="12">
        <v>2.84</v>
      </c>
      <c r="F25" s="12">
        <v>24.6</v>
      </c>
      <c r="G25" s="12">
        <v>4.9722764230000003</v>
      </c>
      <c r="H25" s="12">
        <v>168</v>
      </c>
      <c r="I25" s="12">
        <v>7.9819999999999995E-3</v>
      </c>
      <c r="J25" s="12">
        <v>165</v>
      </c>
    </row>
    <row r="26" spans="1:11" x14ac:dyDescent="0.3">
      <c r="A26" s="12">
        <v>34</v>
      </c>
      <c r="B26" s="12">
        <v>1.5249999999999999</v>
      </c>
      <c r="C26" s="12">
        <f t="shared" si="0"/>
        <v>1.22</v>
      </c>
      <c r="D26" s="12">
        <f t="shared" si="1"/>
        <v>2.44</v>
      </c>
      <c r="E26" s="12">
        <v>48.65</v>
      </c>
      <c r="F26" s="12">
        <v>47.59</v>
      </c>
      <c r="G26" s="12">
        <v>5.9281130490000002</v>
      </c>
      <c r="H26" s="12">
        <v>85</v>
      </c>
      <c r="I26" s="12">
        <v>4.8783E-2</v>
      </c>
      <c r="J26" s="12">
        <v>77</v>
      </c>
    </row>
    <row r="27" spans="1:11" x14ac:dyDescent="0.3">
      <c r="A27" s="12">
        <v>35</v>
      </c>
      <c r="B27" s="12">
        <v>5.335</v>
      </c>
      <c r="C27" s="12">
        <f t="shared" si="0"/>
        <v>4.2679999999999998</v>
      </c>
      <c r="D27" s="12">
        <f t="shared" si="1"/>
        <v>8.5359999999999996</v>
      </c>
      <c r="E27" s="12">
        <v>18.27</v>
      </c>
      <c r="F27" s="12">
        <v>25.45</v>
      </c>
      <c r="G27" s="12">
        <v>5.9700982319999998</v>
      </c>
      <c r="H27" s="12">
        <v>229</v>
      </c>
      <c r="I27" s="12">
        <v>0.11815100000000001</v>
      </c>
      <c r="J27" s="12">
        <v>228</v>
      </c>
      <c r="K27" s="13" t="s">
        <v>64</v>
      </c>
    </row>
    <row r="28" spans="1:11" x14ac:dyDescent="0.3">
      <c r="A28" s="12">
        <v>36</v>
      </c>
      <c r="B28" s="12">
        <v>4.57</v>
      </c>
      <c r="C28" s="12">
        <f t="shared" si="0"/>
        <v>3.6560000000000006</v>
      </c>
      <c r="D28" s="12">
        <f t="shared" si="1"/>
        <v>7.3120000000000012</v>
      </c>
      <c r="E28" s="12">
        <v>3.23</v>
      </c>
      <c r="F28" s="12">
        <v>41.2</v>
      </c>
      <c r="G28" s="12">
        <v>8.0795631070000002</v>
      </c>
      <c r="H28" s="12">
        <v>198</v>
      </c>
      <c r="I28" s="12">
        <v>1.5886999999999998E-2</v>
      </c>
      <c r="J28" s="12">
        <v>205</v>
      </c>
    </row>
    <row r="29" spans="1:11" x14ac:dyDescent="0.3">
      <c r="A29" s="12">
        <v>37</v>
      </c>
      <c r="B29" s="12">
        <v>7.62</v>
      </c>
      <c r="C29" s="12">
        <f t="shared" si="0"/>
        <v>6.0960000000000001</v>
      </c>
      <c r="D29" s="12">
        <f t="shared" si="1"/>
        <v>12.192</v>
      </c>
      <c r="E29" s="12">
        <v>6.01</v>
      </c>
      <c r="F29" s="12">
        <v>31.84</v>
      </c>
      <c r="G29" s="12">
        <v>4.2629616830000003</v>
      </c>
      <c r="H29" s="12">
        <v>853</v>
      </c>
      <c r="I29" s="12">
        <v>2.5687000000000001E-2</v>
      </c>
      <c r="J29" s="12">
        <v>855</v>
      </c>
    </row>
    <row r="30" spans="1:11" x14ac:dyDescent="0.3">
      <c r="A30" s="12">
        <v>39</v>
      </c>
      <c r="B30" s="12">
        <v>1.22</v>
      </c>
      <c r="C30" s="12">
        <f t="shared" si="0"/>
        <v>0.97599999999999998</v>
      </c>
      <c r="D30" s="12">
        <f t="shared" si="1"/>
        <v>1.952</v>
      </c>
      <c r="E30" s="12">
        <v>13.8</v>
      </c>
      <c r="F30" s="12">
        <v>36.24</v>
      </c>
      <c r="G30" s="12">
        <v>4.4247516559999998</v>
      </c>
      <c r="H30" s="12">
        <v>64</v>
      </c>
      <c r="I30" s="12">
        <v>9.8799999999999999E-3</v>
      </c>
      <c r="J30" s="12">
        <v>59</v>
      </c>
    </row>
    <row r="31" spans="1:11" x14ac:dyDescent="0.3">
      <c r="A31" s="12">
        <v>40</v>
      </c>
      <c r="B31" s="12">
        <v>8.3800000000000008</v>
      </c>
      <c r="C31" s="12">
        <f t="shared" si="0"/>
        <v>6.7040000000000006</v>
      </c>
      <c r="D31" s="12">
        <f t="shared" si="1"/>
        <v>13.408000000000001</v>
      </c>
      <c r="E31" s="12">
        <v>32.56</v>
      </c>
      <c r="F31" s="12">
        <v>25.97</v>
      </c>
      <c r="G31" s="12">
        <v>4.1008058180000004</v>
      </c>
      <c r="H31" s="12">
        <v>244</v>
      </c>
      <c r="I31" s="12">
        <v>0.266073</v>
      </c>
      <c r="J31" s="12">
        <v>245</v>
      </c>
      <c r="K31" s="13" t="s">
        <v>64</v>
      </c>
    </row>
    <row r="32" spans="1:11" x14ac:dyDescent="0.3">
      <c r="A32" s="12">
        <v>41</v>
      </c>
      <c r="B32" s="12">
        <v>4.57</v>
      </c>
      <c r="C32" s="12">
        <f t="shared" si="0"/>
        <v>3.6560000000000006</v>
      </c>
      <c r="D32" s="12">
        <f t="shared" si="1"/>
        <v>7.3120000000000012</v>
      </c>
      <c r="E32" s="12">
        <v>15.6</v>
      </c>
      <c r="F32" s="12">
        <v>25.44</v>
      </c>
      <c r="G32" s="12">
        <v>4.1008058180000004</v>
      </c>
      <c r="H32" s="12">
        <v>549</v>
      </c>
      <c r="I32" s="12">
        <v>1.8782E-2</v>
      </c>
      <c r="J32" s="12">
        <v>543</v>
      </c>
    </row>
    <row r="33" spans="1:11" x14ac:dyDescent="0.3">
      <c r="A33" s="12">
        <v>42</v>
      </c>
      <c r="B33" s="12">
        <v>3.05</v>
      </c>
      <c r="C33" s="12">
        <f t="shared" si="0"/>
        <v>2.44</v>
      </c>
      <c r="D33" s="12">
        <f t="shared" si="1"/>
        <v>4.88</v>
      </c>
      <c r="E33" s="12">
        <v>9.23</v>
      </c>
      <c r="F33" s="12">
        <v>17.14</v>
      </c>
      <c r="G33" s="12">
        <v>4.0302742120000001</v>
      </c>
      <c r="H33" s="12">
        <v>152</v>
      </c>
      <c r="I33" s="12">
        <v>2.7394000000000002E-2</v>
      </c>
      <c r="J33" s="12">
        <v>159</v>
      </c>
    </row>
    <row r="34" spans="1:11" x14ac:dyDescent="0.3">
      <c r="A34" s="12">
        <v>43</v>
      </c>
      <c r="B34" s="12">
        <v>1.83</v>
      </c>
      <c r="C34" s="12">
        <f t="shared" si="0"/>
        <v>1.4640000000000002</v>
      </c>
      <c r="D34" s="12">
        <f t="shared" si="1"/>
        <v>2.9280000000000004</v>
      </c>
      <c r="E34" s="12">
        <v>3.13</v>
      </c>
      <c r="F34" s="12">
        <v>28.55</v>
      </c>
      <c r="G34" s="12">
        <v>4.3490367780000003</v>
      </c>
      <c r="H34" s="12">
        <v>96</v>
      </c>
      <c r="I34" s="12">
        <v>4.045E-3</v>
      </c>
      <c r="J34" s="12">
        <v>104</v>
      </c>
    </row>
    <row r="35" spans="1:11" x14ac:dyDescent="0.3">
      <c r="A35" s="12">
        <v>44</v>
      </c>
      <c r="B35" s="12">
        <v>6</v>
      </c>
      <c r="C35" s="12">
        <f t="shared" si="0"/>
        <v>4.8000000000000007</v>
      </c>
      <c r="D35" s="12">
        <f t="shared" si="1"/>
        <v>9.6000000000000014</v>
      </c>
      <c r="E35" s="12">
        <v>7.0000000000000007E-2</v>
      </c>
      <c r="F35" s="12">
        <v>86</v>
      </c>
      <c r="G35" s="12">
        <v>8.6</v>
      </c>
      <c r="H35" s="12">
        <v>140</v>
      </c>
      <c r="I35" s="12">
        <v>1.8782E-2</v>
      </c>
      <c r="J35" s="12">
        <v>141</v>
      </c>
    </row>
    <row r="36" spans="1:11" x14ac:dyDescent="0.3">
      <c r="A36" s="12">
        <v>45</v>
      </c>
      <c r="B36" s="12">
        <v>6</v>
      </c>
      <c r="C36" s="12">
        <f t="shared" si="0"/>
        <v>4.8000000000000007</v>
      </c>
      <c r="D36" s="12">
        <f t="shared" si="1"/>
        <v>9.6000000000000014</v>
      </c>
      <c r="E36" s="12">
        <v>0.04</v>
      </c>
      <c r="F36" s="12">
        <v>86</v>
      </c>
      <c r="G36" s="12">
        <v>8.4916279069999998</v>
      </c>
      <c r="H36" s="12">
        <v>90</v>
      </c>
      <c r="I36" s="12">
        <v>2.1676000000000001E-2</v>
      </c>
      <c r="J36" s="12">
        <v>89</v>
      </c>
    </row>
    <row r="37" spans="1:11" x14ac:dyDescent="0.3">
      <c r="A37" s="12">
        <v>46</v>
      </c>
      <c r="B37" s="12">
        <v>6</v>
      </c>
      <c r="C37" s="12">
        <f t="shared" si="0"/>
        <v>4.8000000000000007</v>
      </c>
      <c r="D37" s="12">
        <f t="shared" si="1"/>
        <v>9.6000000000000014</v>
      </c>
      <c r="E37" s="12">
        <v>1.3</v>
      </c>
      <c r="F37" s="12">
        <v>86</v>
      </c>
      <c r="G37" s="12">
        <v>8.5233720930000008</v>
      </c>
      <c r="H37" s="12">
        <v>120</v>
      </c>
      <c r="I37" s="12">
        <v>2.1676000000000001E-2</v>
      </c>
      <c r="J37" s="12">
        <v>130</v>
      </c>
    </row>
    <row r="38" spans="1:11" x14ac:dyDescent="0.3">
      <c r="A38" s="12">
        <v>47</v>
      </c>
      <c r="B38" s="12">
        <v>6</v>
      </c>
      <c r="C38" s="12">
        <f t="shared" si="0"/>
        <v>4.8000000000000007</v>
      </c>
      <c r="D38" s="12">
        <f t="shared" si="1"/>
        <v>9.6000000000000014</v>
      </c>
      <c r="E38" s="12">
        <v>2.4</v>
      </c>
      <c r="F38" s="12">
        <v>92</v>
      </c>
      <c r="G38" s="12">
        <v>12.17543478</v>
      </c>
      <c r="H38" s="12">
        <v>90</v>
      </c>
      <c r="I38" s="12">
        <v>4.0971E-2</v>
      </c>
      <c r="J38" s="12">
        <v>88</v>
      </c>
    </row>
    <row r="39" spans="1:11" x14ac:dyDescent="0.3">
      <c r="A39" s="12">
        <v>48</v>
      </c>
      <c r="B39" s="12">
        <v>6</v>
      </c>
      <c r="C39" s="12">
        <f t="shared" si="0"/>
        <v>4.8000000000000007</v>
      </c>
      <c r="D39" s="12">
        <f t="shared" si="1"/>
        <v>9.6000000000000014</v>
      </c>
      <c r="E39" s="12">
        <v>1.4</v>
      </c>
      <c r="F39" s="12">
        <v>92</v>
      </c>
      <c r="G39" s="12">
        <v>12.17543478</v>
      </c>
      <c r="H39" s="12">
        <v>60</v>
      </c>
      <c r="I39" s="12">
        <v>4.0971E-2</v>
      </c>
      <c r="J39" s="12">
        <v>64</v>
      </c>
    </row>
    <row r="40" spans="1:11" x14ac:dyDescent="0.3">
      <c r="A40" s="12">
        <v>49</v>
      </c>
      <c r="B40" s="12">
        <v>6</v>
      </c>
      <c r="C40" s="12">
        <f t="shared" si="0"/>
        <v>4.8000000000000007</v>
      </c>
      <c r="D40" s="12">
        <f t="shared" si="1"/>
        <v>9.6000000000000014</v>
      </c>
      <c r="E40" s="12">
        <v>0.7</v>
      </c>
      <c r="F40" s="12">
        <v>92</v>
      </c>
      <c r="G40" s="12">
        <v>12.29391304</v>
      </c>
      <c r="H40" s="12">
        <v>90</v>
      </c>
      <c r="I40" s="12">
        <v>2.5534999999999999E-2</v>
      </c>
      <c r="J40" s="12">
        <v>84</v>
      </c>
    </row>
    <row r="41" spans="1:11" x14ac:dyDescent="0.3">
      <c r="A41" s="12">
        <v>52</v>
      </c>
      <c r="B41" s="12">
        <v>7.5</v>
      </c>
      <c r="C41" s="12">
        <f t="shared" si="0"/>
        <v>6</v>
      </c>
      <c r="D41" s="12">
        <f t="shared" si="1"/>
        <v>12</v>
      </c>
      <c r="E41" s="12">
        <v>0.31</v>
      </c>
      <c r="F41" s="12">
        <v>203</v>
      </c>
      <c r="G41" s="12">
        <v>4.8923645320000002</v>
      </c>
      <c r="H41" s="12">
        <v>160</v>
      </c>
      <c r="I41" s="12">
        <v>3.1440999999999997E-2</v>
      </c>
      <c r="J41" s="12">
        <v>152</v>
      </c>
    </row>
    <row r="42" spans="1:11" x14ac:dyDescent="0.3">
      <c r="A42" s="12">
        <v>54</v>
      </c>
      <c r="B42" s="12">
        <v>5.5</v>
      </c>
      <c r="C42" s="12">
        <f t="shared" si="0"/>
        <v>4.4000000000000004</v>
      </c>
      <c r="D42" s="12">
        <f t="shared" si="1"/>
        <v>8.8000000000000007</v>
      </c>
      <c r="E42" s="12">
        <v>33</v>
      </c>
      <c r="F42" s="12">
        <v>25</v>
      </c>
      <c r="G42" s="12">
        <v>4.2590000000000003</v>
      </c>
      <c r="H42" s="12">
        <v>250</v>
      </c>
      <c r="I42" s="12">
        <v>0.14902299999999999</v>
      </c>
      <c r="J42" s="12">
        <v>245</v>
      </c>
      <c r="K42" s="13" t="s">
        <v>64</v>
      </c>
    </row>
    <row r="43" spans="1:11" x14ac:dyDescent="0.3">
      <c r="A43" s="12">
        <v>55</v>
      </c>
      <c r="B43" s="12">
        <v>3.7</v>
      </c>
      <c r="C43" s="12">
        <f t="shared" si="0"/>
        <v>2.9600000000000004</v>
      </c>
      <c r="D43" s="12">
        <f t="shared" si="1"/>
        <v>5.9200000000000008</v>
      </c>
      <c r="E43" s="12">
        <v>123</v>
      </c>
      <c r="F43" s="12">
        <v>1402.6</v>
      </c>
      <c r="G43" s="12">
        <v>8.4875000000000007</v>
      </c>
      <c r="H43" s="12">
        <v>200</v>
      </c>
      <c r="I43" s="12">
        <v>1.1864E-2</v>
      </c>
      <c r="J43" s="12">
        <v>201</v>
      </c>
    </row>
    <row r="44" spans="1:11" x14ac:dyDescent="0.3">
      <c r="A44" s="12">
        <v>56</v>
      </c>
      <c r="B44" s="12">
        <v>3</v>
      </c>
      <c r="C44" s="12">
        <f t="shared" si="0"/>
        <v>2.4000000000000004</v>
      </c>
      <c r="D44" s="12">
        <f t="shared" si="1"/>
        <v>4.8000000000000007</v>
      </c>
      <c r="E44" s="12">
        <v>230</v>
      </c>
      <c r="F44" s="12">
        <v>655.9</v>
      </c>
      <c r="G44" s="12">
        <v>4.7375971950000002</v>
      </c>
      <c r="H44" s="12">
        <v>500</v>
      </c>
      <c r="I44" s="12">
        <v>6.0410000000000004E-3</v>
      </c>
      <c r="J44" s="12">
        <v>494</v>
      </c>
    </row>
    <row r="45" spans="1:11" x14ac:dyDescent="0.3">
      <c r="A45" s="12">
        <v>57</v>
      </c>
      <c r="B45" s="12">
        <v>5</v>
      </c>
      <c r="C45" s="12">
        <f t="shared" si="0"/>
        <v>4</v>
      </c>
      <c r="D45" s="12">
        <f t="shared" si="1"/>
        <v>8</v>
      </c>
      <c r="E45" s="12">
        <v>0.01</v>
      </c>
      <c r="F45" s="12">
        <v>4</v>
      </c>
      <c r="G45" s="12">
        <v>3.08</v>
      </c>
      <c r="H45" s="12">
        <v>100</v>
      </c>
      <c r="I45" s="12">
        <v>1.3958E-2</v>
      </c>
      <c r="J45" s="12">
        <v>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F5EB-8F56-48F5-8850-522FF1EDFD83}">
  <dimension ref="A1:K46"/>
  <sheetViews>
    <sheetView workbookViewId="0">
      <selection activeCell="K20" sqref="K20"/>
    </sheetView>
  </sheetViews>
  <sheetFormatPr defaultRowHeight="14.4" x14ac:dyDescent="0.3"/>
  <cols>
    <col min="4" max="4" width="16.21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</row>
    <row r="2" spans="1:10" x14ac:dyDescent="0.3">
      <c r="A2" s="12">
        <v>1</v>
      </c>
      <c r="B2" s="12">
        <v>4.5720000000000001</v>
      </c>
      <c r="C2" s="12">
        <f>1*B2</f>
        <v>4.5720000000000001</v>
      </c>
      <c r="D2" s="12">
        <f>2*C2</f>
        <v>9.1440000000000001</v>
      </c>
      <c r="E2" s="12">
        <v>3.55</v>
      </c>
      <c r="F2" s="12">
        <v>37.67</v>
      </c>
      <c r="G2" s="12">
        <v>4.477132997</v>
      </c>
      <c r="H2" s="12">
        <v>274.32</v>
      </c>
      <c r="I2" s="12">
        <v>1.7335E-2</v>
      </c>
      <c r="J2" s="12">
        <v>277</v>
      </c>
    </row>
    <row r="3" spans="1:10" x14ac:dyDescent="0.3">
      <c r="A3" s="12">
        <v>2</v>
      </c>
      <c r="B3" s="12">
        <v>1.524</v>
      </c>
      <c r="C3" s="12">
        <f t="shared" ref="C3:C46" si="0">1*B3</f>
        <v>1.524</v>
      </c>
      <c r="D3" s="12">
        <f t="shared" ref="D3:D46" si="1">2*C3</f>
        <v>3.048</v>
      </c>
      <c r="E3" s="12">
        <v>28</v>
      </c>
      <c r="F3" s="12">
        <v>106.35</v>
      </c>
      <c r="G3" s="12">
        <v>4.6467418900000004</v>
      </c>
      <c r="H3" s="12">
        <v>228.6</v>
      </c>
      <c r="I3" s="12">
        <v>4.045E-3</v>
      </c>
      <c r="J3" s="12">
        <v>232</v>
      </c>
    </row>
    <row r="4" spans="1:10" x14ac:dyDescent="0.3">
      <c r="A4" s="12">
        <v>4</v>
      </c>
      <c r="B4" s="12">
        <v>3.048</v>
      </c>
      <c r="C4" s="12">
        <f t="shared" si="0"/>
        <v>3.048</v>
      </c>
      <c r="D4" s="12">
        <f t="shared" si="1"/>
        <v>6.0960000000000001</v>
      </c>
      <c r="E4" s="12">
        <v>43.28</v>
      </c>
      <c r="F4" s="12">
        <v>103.4</v>
      </c>
      <c r="G4" s="12">
        <v>4.6659477760000003</v>
      </c>
      <c r="H4" s="12">
        <v>213.36</v>
      </c>
      <c r="I4" s="12">
        <v>2.7394000000000002E-2</v>
      </c>
      <c r="J4" s="12">
        <v>218</v>
      </c>
    </row>
    <row r="5" spans="1:10" x14ac:dyDescent="0.3">
      <c r="A5" s="12">
        <v>5</v>
      </c>
      <c r="B5" s="12">
        <v>1.524</v>
      </c>
      <c r="C5" s="12">
        <f t="shared" si="0"/>
        <v>1.524</v>
      </c>
      <c r="D5" s="12">
        <f t="shared" si="1"/>
        <v>3.048</v>
      </c>
      <c r="E5" s="12">
        <v>5.26</v>
      </c>
      <c r="F5" s="12">
        <v>19.79</v>
      </c>
      <c r="G5" s="12">
        <v>3.9056695299999999</v>
      </c>
      <c r="H5" s="12">
        <v>259.08</v>
      </c>
      <c r="I5" s="12">
        <v>3.0720000000000001E-3</v>
      </c>
      <c r="J5" s="12">
        <v>260</v>
      </c>
    </row>
    <row r="6" spans="1:10" x14ac:dyDescent="0.3">
      <c r="A6" s="12">
        <v>6</v>
      </c>
      <c r="B6" s="12">
        <v>3.81</v>
      </c>
      <c r="C6" s="12">
        <f t="shared" si="0"/>
        <v>3.81</v>
      </c>
      <c r="D6" s="12">
        <f t="shared" si="1"/>
        <v>7.62</v>
      </c>
      <c r="E6" s="12">
        <v>4.03</v>
      </c>
      <c r="F6" s="12">
        <v>35.049999999999997</v>
      </c>
      <c r="G6" s="12">
        <v>4.584194009</v>
      </c>
      <c r="H6" s="12">
        <v>91.44</v>
      </c>
      <c r="I6" s="12">
        <v>3.3252999999999998E-2</v>
      </c>
      <c r="J6" s="12">
        <v>97</v>
      </c>
    </row>
    <row r="7" spans="1:10" x14ac:dyDescent="0.3">
      <c r="A7" s="12">
        <v>8</v>
      </c>
      <c r="B7" s="12">
        <v>1.524</v>
      </c>
      <c r="C7" s="12">
        <f t="shared" si="0"/>
        <v>1.524</v>
      </c>
      <c r="D7" s="12">
        <f t="shared" si="1"/>
        <v>3.048</v>
      </c>
      <c r="E7" s="12">
        <v>29.64</v>
      </c>
      <c r="F7" s="12">
        <v>113.77</v>
      </c>
      <c r="G7" s="12">
        <v>4.7059998240000001</v>
      </c>
      <c r="H7" s="12">
        <v>76.2</v>
      </c>
      <c r="I7" s="12">
        <v>1.3771E-2</v>
      </c>
      <c r="J7" s="12">
        <v>76</v>
      </c>
    </row>
    <row r="8" spans="1:10" x14ac:dyDescent="0.3">
      <c r="A8" s="12">
        <v>9</v>
      </c>
      <c r="B8" s="12">
        <v>3.81</v>
      </c>
      <c r="C8" s="12">
        <f t="shared" si="0"/>
        <v>3.81</v>
      </c>
      <c r="D8" s="12">
        <f t="shared" si="1"/>
        <v>7.62</v>
      </c>
      <c r="E8" s="12">
        <v>0.68</v>
      </c>
      <c r="F8" s="12">
        <v>68.94</v>
      </c>
      <c r="G8" s="12">
        <v>4.6965506240000003</v>
      </c>
      <c r="H8" s="12">
        <v>106.68</v>
      </c>
      <c r="I8" s="12">
        <v>1.2992999999999999E-2</v>
      </c>
      <c r="J8" s="12">
        <v>97</v>
      </c>
    </row>
    <row r="9" spans="1:10" x14ac:dyDescent="0.3">
      <c r="A9" s="12">
        <v>10</v>
      </c>
      <c r="B9" s="12">
        <v>5.3339999999999996</v>
      </c>
      <c r="C9" s="12">
        <f t="shared" si="0"/>
        <v>5.3339999999999996</v>
      </c>
      <c r="D9" s="12">
        <f t="shared" si="1"/>
        <v>10.667999999999999</v>
      </c>
      <c r="E9" s="12">
        <v>18.27</v>
      </c>
      <c r="F9" s="12">
        <v>87.41</v>
      </c>
      <c r="G9" s="12">
        <v>4.7078686650000003</v>
      </c>
      <c r="H9" s="12">
        <v>350.52</v>
      </c>
      <c r="I9" s="12">
        <v>2.9523000000000001E-2</v>
      </c>
      <c r="J9" s="12">
        <v>351</v>
      </c>
    </row>
    <row r="10" spans="1:10" x14ac:dyDescent="0.3">
      <c r="A10" s="12">
        <v>12</v>
      </c>
      <c r="B10" s="12">
        <v>1.524</v>
      </c>
      <c r="C10" s="12">
        <f t="shared" si="0"/>
        <v>1.524</v>
      </c>
      <c r="D10" s="12">
        <f t="shared" si="1"/>
        <v>3.048</v>
      </c>
      <c r="E10" s="12">
        <v>0.123</v>
      </c>
      <c r="F10" s="12">
        <v>248.76</v>
      </c>
      <c r="G10" s="12">
        <v>4.6960162409999997</v>
      </c>
      <c r="H10" s="12">
        <v>42.671999999999997</v>
      </c>
      <c r="I10" s="12">
        <v>2.0999999999999999E-3</v>
      </c>
      <c r="J10" s="12">
        <v>44</v>
      </c>
    </row>
    <row r="11" spans="1:10" x14ac:dyDescent="0.3">
      <c r="A11" s="12">
        <v>13</v>
      </c>
      <c r="B11" s="12">
        <v>1.524</v>
      </c>
      <c r="C11" s="12">
        <f t="shared" si="0"/>
        <v>1.524</v>
      </c>
      <c r="D11" s="12">
        <f t="shared" si="1"/>
        <v>3.048</v>
      </c>
      <c r="E11" s="12">
        <v>12.84</v>
      </c>
      <c r="F11" s="12">
        <v>29.26</v>
      </c>
      <c r="G11" s="12">
        <v>4.4282638409999997</v>
      </c>
      <c r="H11" s="12">
        <v>109.72799999999999</v>
      </c>
      <c r="I11" s="12">
        <v>1.3771E-2</v>
      </c>
      <c r="J11" s="12">
        <v>112</v>
      </c>
    </row>
    <row r="12" spans="1:10" x14ac:dyDescent="0.3">
      <c r="A12" s="12">
        <v>14</v>
      </c>
      <c r="B12" s="12">
        <v>3.81</v>
      </c>
      <c r="C12" s="12">
        <f t="shared" si="0"/>
        <v>3.81</v>
      </c>
      <c r="D12" s="12">
        <f t="shared" si="1"/>
        <v>7.62</v>
      </c>
      <c r="E12" s="12">
        <v>8.18</v>
      </c>
      <c r="F12" s="12">
        <v>23.9</v>
      </c>
      <c r="G12" s="12">
        <v>4.2098326359999998</v>
      </c>
      <c r="H12" s="12">
        <v>219.45599999999999</v>
      </c>
      <c r="I12" s="12">
        <v>3.3252999999999998E-2</v>
      </c>
      <c r="J12" s="12">
        <v>213</v>
      </c>
    </row>
    <row r="13" spans="1:10" x14ac:dyDescent="0.3">
      <c r="A13" s="12">
        <v>15</v>
      </c>
      <c r="B13" s="12">
        <v>1.524</v>
      </c>
      <c r="C13" s="12">
        <f t="shared" si="0"/>
        <v>1.524</v>
      </c>
      <c r="D13" s="12">
        <f t="shared" si="1"/>
        <v>3.048</v>
      </c>
      <c r="E13" s="12">
        <v>13.8</v>
      </c>
      <c r="F13" s="12">
        <v>57.76</v>
      </c>
      <c r="G13" s="12">
        <v>4.5061634350000004</v>
      </c>
      <c r="H13" s="12">
        <v>96.012</v>
      </c>
      <c r="I13" s="12">
        <v>9.8799999999999999E-3</v>
      </c>
      <c r="J13" s="12">
        <v>92</v>
      </c>
    </row>
    <row r="14" spans="1:10" x14ac:dyDescent="0.3">
      <c r="A14" s="12">
        <v>16</v>
      </c>
      <c r="B14" s="12">
        <v>3.048</v>
      </c>
      <c r="C14" s="12">
        <f t="shared" si="0"/>
        <v>3.048</v>
      </c>
      <c r="D14" s="12">
        <f t="shared" si="1"/>
        <v>6.0960000000000001</v>
      </c>
      <c r="E14" s="12">
        <v>13.118</v>
      </c>
      <c r="F14" s="12">
        <v>77.8</v>
      </c>
      <c r="G14" s="12">
        <v>4.5751233930000001</v>
      </c>
      <c r="H14" s="12">
        <v>53.34</v>
      </c>
      <c r="I14" s="12">
        <v>6.6217999999999999E-2</v>
      </c>
      <c r="J14" s="12">
        <v>47</v>
      </c>
    </row>
    <row r="15" spans="1:10" x14ac:dyDescent="0.3">
      <c r="A15" s="12">
        <v>17</v>
      </c>
      <c r="B15" s="12">
        <v>2.286</v>
      </c>
      <c r="C15" s="12">
        <f t="shared" si="0"/>
        <v>2.286</v>
      </c>
      <c r="D15" s="12">
        <f t="shared" si="1"/>
        <v>4.5720000000000001</v>
      </c>
      <c r="E15" s="12">
        <v>84.9</v>
      </c>
      <c r="F15" s="12">
        <v>97.662999999999997</v>
      </c>
      <c r="G15" s="12">
        <v>4.5985767380000002</v>
      </c>
      <c r="H15" s="12">
        <v>128.01599999999999</v>
      </c>
      <c r="I15" s="12">
        <v>5.8453999999999999E-2</v>
      </c>
      <c r="J15" s="12">
        <v>129</v>
      </c>
    </row>
    <row r="16" spans="1:10" x14ac:dyDescent="0.3">
      <c r="A16" s="12">
        <v>19</v>
      </c>
      <c r="B16" s="12">
        <v>4.5720000000000001</v>
      </c>
      <c r="C16" s="12">
        <f t="shared" si="0"/>
        <v>4.5720000000000001</v>
      </c>
      <c r="D16" s="12">
        <f t="shared" si="1"/>
        <v>9.1440000000000001</v>
      </c>
      <c r="E16" s="12">
        <v>49.3</v>
      </c>
      <c r="F16" s="12">
        <v>107.76</v>
      </c>
      <c r="G16" s="12">
        <v>4.6535913139999998</v>
      </c>
      <c r="H16" s="12">
        <v>192.024</v>
      </c>
      <c r="I16" s="12">
        <v>7.9561000000000007E-2</v>
      </c>
      <c r="J16" s="12">
        <v>193</v>
      </c>
    </row>
    <row r="17" spans="1:11" x14ac:dyDescent="0.3">
      <c r="A17" s="12">
        <v>20</v>
      </c>
      <c r="B17" s="12">
        <v>1.524</v>
      </c>
      <c r="C17" s="12">
        <f t="shared" si="0"/>
        <v>1.524</v>
      </c>
      <c r="D17" s="12">
        <f t="shared" si="1"/>
        <v>3.048</v>
      </c>
      <c r="E17" s="12">
        <v>90.21</v>
      </c>
      <c r="F17" s="12">
        <v>90.19</v>
      </c>
      <c r="G17" s="12">
        <v>4.6657567359999996</v>
      </c>
      <c r="H17" s="12">
        <v>60.96</v>
      </c>
      <c r="I17" s="12">
        <v>6.4343999999999998E-2</v>
      </c>
      <c r="J17" s="12">
        <v>70</v>
      </c>
    </row>
    <row r="18" spans="1:11" x14ac:dyDescent="0.3">
      <c r="A18" s="12">
        <v>21</v>
      </c>
      <c r="B18" s="12">
        <v>2.286</v>
      </c>
      <c r="C18" s="12">
        <f t="shared" si="0"/>
        <v>2.286</v>
      </c>
      <c r="D18" s="12">
        <f t="shared" si="1"/>
        <v>4.5720000000000001</v>
      </c>
      <c r="E18" s="12">
        <v>0.46899999999999997</v>
      </c>
      <c r="F18" s="12">
        <v>454.56</v>
      </c>
      <c r="G18" s="12">
        <v>4.6953819079999999</v>
      </c>
      <c r="H18" s="12">
        <v>60.96</v>
      </c>
      <c r="I18" s="12">
        <v>4.5849999999999997E-3</v>
      </c>
      <c r="J18" s="12">
        <v>61</v>
      </c>
    </row>
    <row r="19" spans="1:11" x14ac:dyDescent="0.3">
      <c r="A19" s="12">
        <v>22</v>
      </c>
      <c r="B19" s="12">
        <v>2.286</v>
      </c>
      <c r="C19" s="12">
        <f t="shared" si="0"/>
        <v>2.286</v>
      </c>
      <c r="D19" s="12">
        <f t="shared" si="1"/>
        <v>4.5720000000000001</v>
      </c>
      <c r="E19" s="12">
        <v>20.95</v>
      </c>
      <c r="F19" s="12">
        <v>25.72</v>
      </c>
      <c r="G19" s="12">
        <v>4.2883359250000002</v>
      </c>
      <c r="H19" s="12">
        <v>106.68</v>
      </c>
      <c r="I19" s="12">
        <v>6.6217999999999999E-2</v>
      </c>
      <c r="J19" s="12">
        <v>103</v>
      </c>
    </row>
    <row r="20" spans="1:11" x14ac:dyDescent="0.3">
      <c r="A20" s="12">
        <v>23</v>
      </c>
      <c r="B20" s="12">
        <v>11</v>
      </c>
      <c r="C20" s="12">
        <f t="shared" si="0"/>
        <v>11</v>
      </c>
      <c r="D20" s="12">
        <f t="shared" si="1"/>
        <v>22</v>
      </c>
      <c r="E20" s="12">
        <v>4.2460000000000004</v>
      </c>
      <c r="F20" s="12">
        <v>63</v>
      </c>
      <c r="G20" s="12">
        <v>4.5537936510000003</v>
      </c>
      <c r="H20" s="12">
        <v>420</v>
      </c>
      <c r="I20" s="12">
        <v>0.12051000000000001</v>
      </c>
      <c r="J20" s="12">
        <v>426</v>
      </c>
      <c r="K20" s="13" t="s">
        <v>64</v>
      </c>
    </row>
    <row r="21" spans="1:11" x14ac:dyDescent="0.3">
      <c r="A21" s="12">
        <v>24</v>
      </c>
      <c r="B21" s="12">
        <v>3.048</v>
      </c>
      <c r="C21" s="12">
        <f t="shared" si="0"/>
        <v>3.048</v>
      </c>
      <c r="D21" s="12">
        <f t="shared" si="1"/>
        <v>6.0960000000000001</v>
      </c>
      <c r="E21" s="12">
        <v>67</v>
      </c>
      <c r="F21" s="12">
        <v>2013.26</v>
      </c>
      <c r="G21" s="12">
        <v>4.7283187470000003</v>
      </c>
      <c r="H21" s="12">
        <v>207.26400000000001</v>
      </c>
      <c r="I21" s="12">
        <v>6.5259999999999997E-3</v>
      </c>
      <c r="J21" s="12">
        <v>204</v>
      </c>
    </row>
    <row r="22" spans="1:11" x14ac:dyDescent="0.3">
      <c r="A22" s="12">
        <v>26</v>
      </c>
      <c r="B22" s="12">
        <v>4.2671999999999999</v>
      </c>
      <c r="C22" s="12">
        <f t="shared" si="0"/>
        <v>4.2671999999999999</v>
      </c>
      <c r="D22" s="12">
        <f t="shared" si="1"/>
        <v>8.5343999999999998</v>
      </c>
      <c r="E22" s="12">
        <v>25.4</v>
      </c>
      <c r="F22" s="12">
        <v>24.5</v>
      </c>
      <c r="G22" s="12">
        <v>4.4513061220000001</v>
      </c>
      <c r="H22" s="12">
        <v>71.3232</v>
      </c>
      <c r="I22" s="12">
        <v>0.50405</v>
      </c>
      <c r="J22" s="12">
        <v>78</v>
      </c>
      <c r="K22" s="13" t="s">
        <v>64</v>
      </c>
    </row>
    <row r="23" spans="1:11" x14ac:dyDescent="0.3">
      <c r="A23" s="12">
        <v>29</v>
      </c>
      <c r="B23" s="12">
        <v>1.0669999999999999</v>
      </c>
      <c r="C23" s="12">
        <f t="shared" si="0"/>
        <v>1.0669999999999999</v>
      </c>
      <c r="D23" s="12">
        <f t="shared" si="1"/>
        <v>2.1339999999999999</v>
      </c>
      <c r="E23" s="12">
        <v>3.57</v>
      </c>
      <c r="F23" s="12">
        <v>3.88</v>
      </c>
      <c r="G23" s="12">
        <v>5.5311855669999996</v>
      </c>
      <c r="H23" s="12">
        <v>57.302399999999999</v>
      </c>
      <c r="I23" s="12">
        <v>4.8783E-2</v>
      </c>
      <c r="J23" s="12">
        <v>53</v>
      </c>
    </row>
    <row r="24" spans="1:11" x14ac:dyDescent="0.3">
      <c r="A24" s="12">
        <v>30</v>
      </c>
      <c r="B24" s="12">
        <v>1.5249999999999999</v>
      </c>
      <c r="C24" s="12">
        <f t="shared" si="0"/>
        <v>1.5249999999999999</v>
      </c>
      <c r="D24" s="12">
        <f t="shared" si="1"/>
        <v>3.05</v>
      </c>
      <c r="E24" s="12">
        <v>5.22</v>
      </c>
      <c r="F24" s="12">
        <v>27.61</v>
      </c>
      <c r="G24" s="12">
        <v>4.467656646</v>
      </c>
      <c r="H24" s="12">
        <v>152</v>
      </c>
      <c r="I24" s="12">
        <v>4.5310000000000003E-3</v>
      </c>
      <c r="J24" s="12">
        <v>153</v>
      </c>
    </row>
    <row r="25" spans="1:11" x14ac:dyDescent="0.3">
      <c r="A25" s="12">
        <v>31</v>
      </c>
      <c r="B25" s="12">
        <v>4.57</v>
      </c>
      <c r="C25" s="12">
        <f t="shared" si="0"/>
        <v>4.57</v>
      </c>
      <c r="D25" s="12">
        <f t="shared" si="1"/>
        <v>9.14</v>
      </c>
      <c r="E25" s="12">
        <v>9.23</v>
      </c>
      <c r="F25" s="12">
        <v>14.71</v>
      </c>
      <c r="G25" s="12">
        <v>4.5438341260000001</v>
      </c>
      <c r="H25" s="12">
        <v>366</v>
      </c>
      <c r="I25" s="12">
        <v>5.2547999999999997E-2</v>
      </c>
      <c r="J25" s="12">
        <v>360</v>
      </c>
    </row>
    <row r="26" spans="1:11" x14ac:dyDescent="0.3">
      <c r="A26" s="12">
        <v>32</v>
      </c>
      <c r="B26" s="12">
        <v>3.05</v>
      </c>
      <c r="C26" s="12">
        <f t="shared" si="0"/>
        <v>3.05</v>
      </c>
      <c r="D26" s="12">
        <f t="shared" si="1"/>
        <v>6.1</v>
      </c>
      <c r="E26" s="12">
        <v>2.84</v>
      </c>
      <c r="F26" s="12">
        <v>24.6</v>
      </c>
      <c r="G26" s="12">
        <v>4.9722764230000003</v>
      </c>
      <c r="H26" s="12">
        <v>168</v>
      </c>
      <c r="I26" s="12">
        <v>1.1864E-2</v>
      </c>
      <c r="J26" s="12">
        <v>176</v>
      </c>
    </row>
    <row r="27" spans="1:11" x14ac:dyDescent="0.3">
      <c r="A27" s="12">
        <v>34</v>
      </c>
      <c r="B27" s="12">
        <v>1.5249999999999999</v>
      </c>
      <c r="C27" s="12">
        <f t="shared" si="0"/>
        <v>1.5249999999999999</v>
      </c>
      <c r="D27" s="12">
        <f t="shared" si="1"/>
        <v>3.05</v>
      </c>
      <c r="E27" s="12">
        <v>48.65</v>
      </c>
      <c r="F27" s="12">
        <v>47.59</v>
      </c>
      <c r="G27" s="12">
        <v>5.9281130490000002</v>
      </c>
      <c r="H27" s="12">
        <v>85</v>
      </c>
      <c r="I27" s="12">
        <v>6.4343999999999998E-2</v>
      </c>
      <c r="J27" s="12">
        <v>90</v>
      </c>
    </row>
    <row r="28" spans="1:11" x14ac:dyDescent="0.3">
      <c r="A28" s="12">
        <v>35</v>
      </c>
      <c r="B28" s="12">
        <v>5.335</v>
      </c>
      <c r="C28" s="12">
        <f t="shared" si="0"/>
        <v>5.335</v>
      </c>
      <c r="D28" s="12">
        <f t="shared" si="1"/>
        <v>10.67</v>
      </c>
      <c r="E28" s="12">
        <v>18.27</v>
      </c>
      <c r="F28" s="12">
        <v>25.45</v>
      </c>
      <c r="G28" s="12">
        <v>5.9700982319999998</v>
      </c>
      <c r="H28" s="12">
        <v>229</v>
      </c>
      <c r="I28" s="12">
        <v>0.16952100000000001</v>
      </c>
      <c r="J28" s="12">
        <v>233</v>
      </c>
      <c r="K28" s="13" t="s">
        <v>64</v>
      </c>
    </row>
    <row r="29" spans="1:11" x14ac:dyDescent="0.3">
      <c r="A29" s="12">
        <v>36</v>
      </c>
      <c r="B29" s="12">
        <v>4.57</v>
      </c>
      <c r="C29" s="12">
        <f t="shared" si="0"/>
        <v>4.57</v>
      </c>
      <c r="D29" s="12">
        <f t="shared" si="1"/>
        <v>9.14</v>
      </c>
      <c r="E29" s="12">
        <v>3.23</v>
      </c>
      <c r="F29" s="12">
        <v>41.2</v>
      </c>
      <c r="G29" s="12">
        <v>8.0795631070000002</v>
      </c>
      <c r="H29" s="12">
        <v>198</v>
      </c>
      <c r="I29" s="12">
        <v>2.5534999999999999E-2</v>
      </c>
      <c r="J29" s="12">
        <v>202</v>
      </c>
    </row>
    <row r="30" spans="1:11" x14ac:dyDescent="0.3">
      <c r="A30" s="12">
        <v>37</v>
      </c>
      <c r="B30" s="12">
        <v>7.62</v>
      </c>
      <c r="C30" s="12">
        <f t="shared" si="0"/>
        <v>7.62</v>
      </c>
      <c r="D30" s="12">
        <f t="shared" si="1"/>
        <v>15.24</v>
      </c>
      <c r="E30" s="12">
        <v>6.01</v>
      </c>
      <c r="F30" s="12">
        <v>31.84</v>
      </c>
      <c r="G30" s="12">
        <v>4.2629616830000003</v>
      </c>
      <c r="H30" s="12">
        <v>853</v>
      </c>
      <c r="I30" s="12">
        <v>4.3838000000000002E-2</v>
      </c>
      <c r="J30" s="12">
        <v>862</v>
      </c>
    </row>
    <row r="31" spans="1:11" x14ac:dyDescent="0.3">
      <c r="A31" s="12">
        <v>39</v>
      </c>
      <c r="B31" s="12">
        <v>1.22</v>
      </c>
      <c r="C31" s="12">
        <f t="shared" si="0"/>
        <v>1.22</v>
      </c>
      <c r="D31" s="12">
        <f t="shared" si="1"/>
        <v>2.44</v>
      </c>
      <c r="E31" s="12">
        <v>13.8</v>
      </c>
      <c r="F31" s="12">
        <v>36.24</v>
      </c>
      <c r="G31" s="12">
        <v>4.4247516559999998</v>
      </c>
      <c r="H31" s="12">
        <v>64</v>
      </c>
      <c r="I31" s="12">
        <v>1.3771E-2</v>
      </c>
      <c r="J31" s="12">
        <v>66</v>
      </c>
    </row>
    <row r="32" spans="1:11" x14ac:dyDescent="0.3">
      <c r="A32" s="12">
        <v>40</v>
      </c>
      <c r="B32" s="12">
        <v>8.3800000000000008</v>
      </c>
      <c r="C32" s="12">
        <f t="shared" si="0"/>
        <v>8.3800000000000008</v>
      </c>
      <c r="D32" s="12">
        <f t="shared" si="1"/>
        <v>16.760000000000002</v>
      </c>
      <c r="E32" s="12">
        <v>32.56</v>
      </c>
      <c r="F32" s="12">
        <v>25.97</v>
      </c>
      <c r="G32" s="12">
        <v>4.1008058180000004</v>
      </c>
      <c r="H32" s="12">
        <v>244</v>
      </c>
      <c r="I32" s="12">
        <v>0.36937599999999998</v>
      </c>
      <c r="J32" s="12">
        <v>242</v>
      </c>
      <c r="K32" s="13" t="s">
        <v>64</v>
      </c>
    </row>
    <row r="33" spans="1:11" x14ac:dyDescent="0.3">
      <c r="A33" s="12">
        <v>41</v>
      </c>
      <c r="B33" s="12">
        <v>4.57</v>
      </c>
      <c r="C33" s="12">
        <f t="shared" si="0"/>
        <v>4.57</v>
      </c>
      <c r="D33" s="12">
        <f t="shared" si="1"/>
        <v>9.14</v>
      </c>
      <c r="E33" s="12">
        <v>15.6</v>
      </c>
      <c r="F33" s="12">
        <v>25.44</v>
      </c>
      <c r="G33" s="12">
        <v>4.1008058180000004</v>
      </c>
      <c r="H33" s="12">
        <v>549</v>
      </c>
      <c r="I33" s="12">
        <v>2.9394E-2</v>
      </c>
      <c r="J33" s="12">
        <v>547</v>
      </c>
    </row>
    <row r="34" spans="1:11" x14ac:dyDescent="0.3">
      <c r="A34" s="12">
        <v>42</v>
      </c>
      <c r="B34" s="12">
        <v>3.05</v>
      </c>
      <c r="C34" s="12">
        <f t="shared" si="0"/>
        <v>3.05</v>
      </c>
      <c r="D34" s="12">
        <f t="shared" si="1"/>
        <v>6.1</v>
      </c>
      <c r="E34" s="12">
        <v>9.23</v>
      </c>
      <c r="F34" s="12">
        <v>17.14</v>
      </c>
      <c r="G34" s="12">
        <v>4.0302742120000001</v>
      </c>
      <c r="H34" s="12">
        <v>152</v>
      </c>
      <c r="I34" s="12">
        <v>4.2923999999999997E-2</v>
      </c>
      <c r="J34" s="12">
        <v>161</v>
      </c>
    </row>
    <row r="35" spans="1:11" x14ac:dyDescent="0.3">
      <c r="A35" s="12">
        <v>43</v>
      </c>
      <c r="B35" s="12">
        <v>1.83</v>
      </c>
      <c r="C35" s="12">
        <f t="shared" si="0"/>
        <v>1.83</v>
      </c>
      <c r="D35" s="12">
        <f t="shared" si="1"/>
        <v>3.66</v>
      </c>
      <c r="E35" s="12">
        <v>3.13</v>
      </c>
      <c r="F35" s="12">
        <v>28.55</v>
      </c>
      <c r="G35" s="12">
        <v>4.3490367780000003</v>
      </c>
      <c r="H35" s="12">
        <v>96</v>
      </c>
      <c r="I35" s="12">
        <v>6.9629999999999996E-3</v>
      </c>
      <c r="J35" s="12">
        <v>96</v>
      </c>
    </row>
    <row r="36" spans="1:11" x14ac:dyDescent="0.3">
      <c r="A36" s="12">
        <v>44</v>
      </c>
      <c r="B36" s="12">
        <v>6</v>
      </c>
      <c r="C36" s="12">
        <f t="shared" si="0"/>
        <v>6</v>
      </c>
      <c r="D36" s="12">
        <f t="shared" si="1"/>
        <v>12</v>
      </c>
      <c r="E36" s="12">
        <v>7.0000000000000007E-2</v>
      </c>
      <c r="F36" s="12">
        <v>86</v>
      </c>
      <c r="G36" s="12">
        <v>8.6</v>
      </c>
      <c r="H36" s="12">
        <v>140</v>
      </c>
      <c r="I36" s="12">
        <v>3.2399999999999998E-2</v>
      </c>
      <c r="J36" s="12">
        <v>137</v>
      </c>
    </row>
    <row r="37" spans="1:11" x14ac:dyDescent="0.3">
      <c r="A37" s="12">
        <v>45</v>
      </c>
      <c r="B37" s="12">
        <v>6</v>
      </c>
      <c r="C37" s="12">
        <f t="shared" si="0"/>
        <v>6</v>
      </c>
      <c r="D37" s="12">
        <f t="shared" si="1"/>
        <v>12</v>
      </c>
      <c r="E37" s="12">
        <v>0.04</v>
      </c>
      <c r="F37" s="12">
        <v>86</v>
      </c>
      <c r="G37" s="12">
        <v>8.4916279069999998</v>
      </c>
      <c r="H37" s="12">
        <v>90</v>
      </c>
      <c r="I37" s="12">
        <v>3.7193999999999998E-2</v>
      </c>
      <c r="J37" s="12">
        <v>87</v>
      </c>
    </row>
    <row r="38" spans="1:11" x14ac:dyDescent="0.3">
      <c r="A38" s="12">
        <v>46</v>
      </c>
      <c r="B38" s="12">
        <v>6</v>
      </c>
      <c r="C38" s="12">
        <f t="shared" si="0"/>
        <v>6</v>
      </c>
      <c r="D38" s="12">
        <f t="shared" si="1"/>
        <v>12</v>
      </c>
      <c r="E38" s="12">
        <v>1.3</v>
      </c>
      <c r="F38" s="12">
        <v>86</v>
      </c>
      <c r="G38" s="12">
        <v>8.5233720930000008</v>
      </c>
      <c r="H38" s="12">
        <v>120</v>
      </c>
      <c r="I38" s="12">
        <v>3.9112000000000001E-2</v>
      </c>
      <c r="J38" s="12">
        <v>111</v>
      </c>
    </row>
    <row r="39" spans="1:11" x14ac:dyDescent="0.3">
      <c r="A39" s="12">
        <v>47</v>
      </c>
      <c r="B39" s="12">
        <v>6</v>
      </c>
      <c r="C39" s="12">
        <f t="shared" si="0"/>
        <v>6</v>
      </c>
      <c r="D39" s="12">
        <f t="shared" si="1"/>
        <v>12</v>
      </c>
      <c r="E39" s="12">
        <v>2.4</v>
      </c>
      <c r="F39" s="12">
        <v>92</v>
      </c>
      <c r="G39" s="12">
        <v>12.17543478</v>
      </c>
      <c r="H39" s="12">
        <v>90</v>
      </c>
      <c r="I39" s="12">
        <v>6.2125E-2</v>
      </c>
      <c r="J39" s="12">
        <v>92</v>
      </c>
    </row>
    <row r="40" spans="1:11" x14ac:dyDescent="0.3">
      <c r="A40" s="12">
        <v>48</v>
      </c>
      <c r="B40" s="12">
        <v>6</v>
      </c>
      <c r="C40" s="12">
        <f t="shared" si="0"/>
        <v>6</v>
      </c>
      <c r="D40" s="12">
        <f t="shared" si="1"/>
        <v>12</v>
      </c>
      <c r="E40" s="12">
        <v>1.4</v>
      </c>
      <c r="F40" s="12">
        <v>92</v>
      </c>
      <c r="G40" s="12">
        <v>12.17543478</v>
      </c>
      <c r="H40" s="12">
        <v>60</v>
      </c>
      <c r="I40" s="12">
        <v>7.7466999999999994E-2</v>
      </c>
      <c r="J40" s="12">
        <v>54</v>
      </c>
    </row>
    <row r="41" spans="1:11" x14ac:dyDescent="0.3">
      <c r="A41" s="12">
        <v>49</v>
      </c>
      <c r="B41" s="12">
        <v>6</v>
      </c>
      <c r="C41" s="12">
        <f t="shared" si="0"/>
        <v>6</v>
      </c>
      <c r="D41" s="12">
        <f t="shared" si="1"/>
        <v>12</v>
      </c>
      <c r="E41" s="12">
        <v>0.7</v>
      </c>
      <c r="F41" s="12">
        <v>92</v>
      </c>
      <c r="G41" s="12">
        <v>12.29391304</v>
      </c>
      <c r="H41" s="12">
        <v>90</v>
      </c>
      <c r="I41" s="12">
        <v>4.2946999999999999E-2</v>
      </c>
      <c r="J41" s="12">
        <v>83</v>
      </c>
    </row>
    <row r="42" spans="1:11" x14ac:dyDescent="0.3">
      <c r="A42" s="12">
        <v>52</v>
      </c>
      <c r="B42" s="12">
        <v>7.5</v>
      </c>
      <c r="C42" s="12">
        <f t="shared" si="0"/>
        <v>7.5</v>
      </c>
      <c r="D42" s="12">
        <f t="shared" si="1"/>
        <v>15</v>
      </c>
      <c r="E42" s="12">
        <v>0.31</v>
      </c>
      <c r="F42" s="12">
        <v>203</v>
      </c>
      <c r="G42" s="12">
        <v>4.8923645320000002</v>
      </c>
      <c r="H42" s="12">
        <v>160</v>
      </c>
      <c r="I42" s="12">
        <v>5.3192000000000003E-2</v>
      </c>
      <c r="J42" s="12">
        <v>169</v>
      </c>
    </row>
    <row r="43" spans="1:11" x14ac:dyDescent="0.3">
      <c r="A43" s="12">
        <v>54</v>
      </c>
      <c r="B43" s="12">
        <v>5.5</v>
      </c>
      <c r="C43" s="12">
        <f t="shared" si="0"/>
        <v>5.5</v>
      </c>
      <c r="D43" s="12">
        <f t="shared" si="1"/>
        <v>11</v>
      </c>
      <c r="E43" s="12">
        <v>33</v>
      </c>
      <c r="F43" s="12">
        <v>25</v>
      </c>
      <c r="G43" s="12">
        <v>4.2590000000000003</v>
      </c>
      <c r="H43" s="12">
        <v>250</v>
      </c>
      <c r="I43" s="12">
        <v>0.20020499999999999</v>
      </c>
      <c r="J43" s="12">
        <v>259</v>
      </c>
      <c r="K43" s="13" t="s">
        <v>64</v>
      </c>
    </row>
    <row r="44" spans="1:11" x14ac:dyDescent="0.3">
      <c r="A44" s="12">
        <v>55</v>
      </c>
      <c r="B44" s="12">
        <v>3.7</v>
      </c>
      <c r="C44" s="12">
        <f t="shared" si="0"/>
        <v>3.7</v>
      </c>
      <c r="D44" s="12">
        <f t="shared" si="1"/>
        <v>7.4</v>
      </c>
      <c r="E44" s="12">
        <v>123</v>
      </c>
      <c r="F44" s="12">
        <v>1402.6</v>
      </c>
      <c r="G44" s="12">
        <v>8.4875000000000007</v>
      </c>
      <c r="H44" s="12">
        <v>200</v>
      </c>
      <c r="I44" s="12">
        <v>1.9746E-2</v>
      </c>
      <c r="J44" s="12">
        <v>191</v>
      </c>
    </row>
    <row r="45" spans="1:11" x14ac:dyDescent="0.3">
      <c r="A45" s="12">
        <v>56</v>
      </c>
      <c r="B45" s="12">
        <v>3</v>
      </c>
      <c r="C45" s="12">
        <f t="shared" si="0"/>
        <v>3</v>
      </c>
      <c r="D45" s="12">
        <f t="shared" si="1"/>
        <v>6</v>
      </c>
      <c r="E45" s="12">
        <v>230</v>
      </c>
      <c r="F45" s="12">
        <v>655.9</v>
      </c>
      <c r="G45" s="12">
        <v>4.7375971950000002</v>
      </c>
      <c r="H45" s="12">
        <v>500</v>
      </c>
      <c r="I45" s="12">
        <v>9.4380000000000002E-3</v>
      </c>
      <c r="J45" s="12">
        <v>498</v>
      </c>
    </row>
    <row r="46" spans="1:11" x14ac:dyDescent="0.3">
      <c r="A46" s="12">
        <v>57</v>
      </c>
      <c r="B46" s="12">
        <v>5</v>
      </c>
      <c r="C46" s="12">
        <f t="shared" si="0"/>
        <v>5</v>
      </c>
      <c r="D46" s="12">
        <f t="shared" si="1"/>
        <v>10</v>
      </c>
      <c r="E46" s="12">
        <v>0.01</v>
      </c>
      <c r="F46" s="12">
        <v>4</v>
      </c>
      <c r="G46" s="12">
        <v>3.08</v>
      </c>
      <c r="H46" s="12">
        <v>100</v>
      </c>
      <c r="I46" s="12">
        <v>2.3769999999999999E-2</v>
      </c>
      <c r="J46" s="12">
        <v>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04A4-5538-4C85-AAA7-9E32D46EA4C1}">
  <dimension ref="A1:O55"/>
  <sheetViews>
    <sheetView topLeftCell="A22" workbookViewId="0">
      <selection activeCell="D68" sqref="D68"/>
    </sheetView>
  </sheetViews>
  <sheetFormatPr defaultRowHeight="14.4" x14ac:dyDescent="0.3"/>
  <cols>
    <col min="1" max="1" width="15.77734375" customWidth="1"/>
    <col min="2" max="2" width="18.109375" customWidth="1"/>
    <col min="3" max="3" width="17.88671875" customWidth="1"/>
    <col min="4" max="4" width="22.21875" customWidth="1"/>
    <col min="5" max="5" width="32.77734375" customWidth="1"/>
    <col min="6" max="6" width="21.21875" customWidth="1"/>
    <col min="7" max="7" width="28.21875" customWidth="1"/>
    <col min="8" max="8" width="20.21875" customWidth="1"/>
    <col min="9" max="9" width="20.44140625" customWidth="1"/>
    <col min="10" max="10" width="19" customWidth="1"/>
    <col min="11" max="11" width="19.88671875" customWidth="1"/>
    <col min="12" max="12" width="18.88671875" customWidth="1"/>
    <col min="13" max="13" width="19.109375" customWidth="1"/>
    <col min="14" max="14" width="15.21875" customWidth="1"/>
    <col min="15" max="15" width="16.5546875" customWidth="1"/>
  </cols>
  <sheetData>
    <row r="1" spans="1:15" ht="15.6" x14ac:dyDescent="0.35">
      <c r="A1" s="2" t="s">
        <v>67</v>
      </c>
      <c r="B1" s="2" t="s">
        <v>68</v>
      </c>
      <c r="C1" s="2" t="s">
        <v>69</v>
      </c>
      <c r="D1" s="2" t="s">
        <v>70</v>
      </c>
      <c r="E1" s="3" t="s">
        <v>71</v>
      </c>
      <c r="F1" s="3" t="s">
        <v>72</v>
      </c>
      <c r="G1" s="3" t="s">
        <v>73</v>
      </c>
      <c r="H1" s="2" t="s">
        <v>74</v>
      </c>
      <c r="I1" s="2" t="s">
        <v>75</v>
      </c>
      <c r="J1" s="2" t="s">
        <v>76</v>
      </c>
      <c r="K1" s="15" t="s">
        <v>77</v>
      </c>
      <c r="L1" s="16" t="s">
        <v>78</v>
      </c>
      <c r="M1" s="2" t="s">
        <v>79</v>
      </c>
      <c r="N1" s="16" t="s">
        <v>80</v>
      </c>
      <c r="O1" s="2" t="s">
        <v>81</v>
      </c>
    </row>
    <row r="2" spans="1:15" x14ac:dyDescent="0.3">
      <c r="A2" s="1">
        <v>1</v>
      </c>
      <c r="B2" s="1">
        <v>9.1440000000000001</v>
      </c>
      <c r="C2" s="1">
        <v>274.32</v>
      </c>
      <c r="D2" s="1">
        <v>114.3</v>
      </c>
      <c r="E2" s="1">
        <v>5.0000000000000001E-4</v>
      </c>
      <c r="F2" s="1">
        <v>3.552</v>
      </c>
      <c r="G2" s="1">
        <v>6.9</v>
      </c>
      <c r="H2" s="1">
        <v>3.42</v>
      </c>
      <c r="I2" s="1">
        <v>27.3</v>
      </c>
      <c r="J2" s="1">
        <v>0.05</v>
      </c>
      <c r="K2" s="1">
        <f>SUM(G2:J2)</f>
        <v>37.67</v>
      </c>
      <c r="L2" s="12">
        <v>4.477132997</v>
      </c>
      <c r="M2" s="5">
        <f>L2*((F2+K2)/K2)</f>
        <v>4.8992932413680386</v>
      </c>
      <c r="N2" s="1">
        <v>3.14</v>
      </c>
      <c r="O2" s="5">
        <f>N2*((F2+G2)/G2)</f>
        <v>4.7564173913043479</v>
      </c>
    </row>
    <row r="3" spans="1:15" x14ac:dyDescent="0.3">
      <c r="A3" s="1">
        <v>2</v>
      </c>
      <c r="B3" s="1">
        <v>3.048</v>
      </c>
      <c r="C3" s="1">
        <v>228.6</v>
      </c>
      <c r="D3" s="1">
        <v>121.92</v>
      </c>
      <c r="E3" s="1">
        <v>4.0000000000000002E-4</v>
      </c>
      <c r="F3" s="1">
        <v>28</v>
      </c>
      <c r="G3" s="1">
        <v>7.1</v>
      </c>
      <c r="H3" s="1">
        <v>10</v>
      </c>
      <c r="I3" s="1">
        <v>89.2</v>
      </c>
      <c r="J3" s="1">
        <v>0.05</v>
      </c>
      <c r="K3" s="1">
        <f t="shared" ref="K3:K55" si="0">SUM(G3:J3)</f>
        <v>106.35000000000001</v>
      </c>
      <c r="L3" s="12">
        <v>4.6467418900000004</v>
      </c>
      <c r="M3" s="5">
        <f t="shared" ref="M3:M55" si="1">L3*((F3+K3)/K3)</f>
        <v>5.870143609981195</v>
      </c>
      <c r="N3" s="1">
        <v>3.14</v>
      </c>
      <c r="O3" s="5">
        <f t="shared" ref="O3:O55" si="2">N3*((F3+G3)/G3)</f>
        <v>15.523098591549296</v>
      </c>
    </row>
    <row r="4" spans="1:15" x14ac:dyDescent="0.3">
      <c r="A4" s="1">
        <v>3</v>
      </c>
      <c r="B4" s="1">
        <v>6.0960000000000001</v>
      </c>
      <c r="C4" s="1">
        <v>914.4</v>
      </c>
      <c r="D4" s="1">
        <v>457.2</v>
      </c>
      <c r="E4" s="1">
        <v>1E-3</v>
      </c>
      <c r="F4" s="1">
        <v>0.44700000000000001</v>
      </c>
      <c r="G4" s="1">
        <v>0.8</v>
      </c>
      <c r="H4" s="1">
        <v>15</v>
      </c>
      <c r="I4" s="1">
        <v>26.7</v>
      </c>
      <c r="J4" s="1">
        <v>0.5</v>
      </c>
      <c r="K4" s="1">
        <f t="shared" si="0"/>
        <v>43</v>
      </c>
      <c r="L4" s="1">
        <v>4.9537441859999998</v>
      </c>
      <c r="M4" s="5">
        <f t="shared" si="1"/>
        <v>5.0052400848637673</v>
      </c>
      <c r="N4" s="1">
        <v>3.14</v>
      </c>
      <c r="O4" s="5">
        <f t="shared" si="2"/>
        <v>4.8944750000000008</v>
      </c>
    </row>
    <row r="5" spans="1:15" x14ac:dyDescent="0.3">
      <c r="A5" s="1">
        <v>4</v>
      </c>
      <c r="B5" s="1">
        <v>6.0960000000000001</v>
      </c>
      <c r="C5" s="1">
        <v>213.36</v>
      </c>
      <c r="D5" s="1">
        <v>152.4</v>
      </c>
      <c r="E5" s="1">
        <v>1E-3</v>
      </c>
      <c r="F5" s="1">
        <v>43.28</v>
      </c>
      <c r="G5" s="1">
        <v>12.6</v>
      </c>
      <c r="H5" s="1">
        <v>31</v>
      </c>
      <c r="I5" s="1">
        <v>59.3</v>
      </c>
      <c r="J5" s="1">
        <v>0.5</v>
      </c>
      <c r="K5" s="1">
        <f t="shared" si="0"/>
        <v>103.4</v>
      </c>
      <c r="L5" s="12">
        <v>4.6659477760000003</v>
      </c>
      <c r="M5" s="5">
        <f t="shared" si="1"/>
        <v>6.6189673093199231</v>
      </c>
      <c r="N5" s="1">
        <v>3.14</v>
      </c>
      <c r="O5" s="5">
        <f t="shared" si="2"/>
        <v>13.925650793650794</v>
      </c>
    </row>
    <row r="6" spans="1:15" x14ac:dyDescent="0.3">
      <c r="A6" s="1">
        <v>5</v>
      </c>
      <c r="B6" s="1">
        <v>3.048</v>
      </c>
      <c r="C6" s="1">
        <v>259.08</v>
      </c>
      <c r="D6" s="1">
        <v>274.32</v>
      </c>
      <c r="E6" s="1">
        <v>5.0000000000000001E-4</v>
      </c>
      <c r="F6" s="1">
        <v>5.2610000000000001</v>
      </c>
      <c r="G6" s="1">
        <v>10.9</v>
      </c>
      <c r="H6" s="1">
        <v>0.3</v>
      </c>
      <c r="I6" s="1">
        <v>8.5399999999999991</v>
      </c>
      <c r="J6" s="1">
        <v>0.05</v>
      </c>
      <c r="K6" s="1">
        <f t="shared" si="0"/>
        <v>19.790000000000003</v>
      </c>
      <c r="L6" s="12">
        <v>3.9056695299999999</v>
      </c>
      <c r="M6" s="5">
        <f t="shared" si="1"/>
        <v>4.9439579280459824</v>
      </c>
      <c r="N6" s="1">
        <v>3.14</v>
      </c>
      <c r="O6" s="5">
        <f t="shared" si="2"/>
        <v>4.6555541284403672</v>
      </c>
    </row>
    <row r="7" spans="1:15" x14ac:dyDescent="0.3">
      <c r="A7" s="1">
        <v>6</v>
      </c>
      <c r="B7" s="1">
        <v>7.62</v>
      </c>
      <c r="C7" s="1">
        <v>91.44</v>
      </c>
      <c r="D7" s="1">
        <v>45.72</v>
      </c>
      <c r="E7" s="1">
        <v>0.5</v>
      </c>
      <c r="F7" s="1">
        <v>4.03</v>
      </c>
      <c r="G7" s="1">
        <v>3.8</v>
      </c>
      <c r="H7" s="1">
        <v>0.2</v>
      </c>
      <c r="I7" s="1">
        <v>31</v>
      </c>
      <c r="J7" s="1">
        <v>0.05</v>
      </c>
      <c r="K7" s="1">
        <f t="shared" si="0"/>
        <v>35.049999999999997</v>
      </c>
      <c r="L7" s="12">
        <v>4.584194009</v>
      </c>
      <c r="M7" s="5">
        <f t="shared" si="1"/>
        <v>5.1112782274385165</v>
      </c>
      <c r="N7" s="1">
        <v>3.14</v>
      </c>
      <c r="O7" s="5">
        <f t="shared" si="2"/>
        <v>6.4700526315789482</v>
      </c>
    </row>
    <row r="8" spans="1:15" x14ac:dyDescent="0.3">
      <c r="A8" s="1">
        <v>7</v>
      </c>
      <c r="B8" s="1">
        <v>4.5720000000000001</v>
      </c>
      <c r="C8" s="1">
        <v>146.304</v>
      </c>
      <c r="D8" s="1">
        <v>36.576000000000001</v>
      </c>
      <c r="E8" s="1">
        <v>5.0000000000000001E-4</v>
      </c>
      <c r="F8" s="1">
        <v>14.096</v>
      </c>
      <c r="G8" s="1">
        <v>3.7</v>
      </c>
      <c r="H8" s="1">
        <v>0.28999999999999998</v>
      </c>
      <c r="I8" s="1">
        <v>1000</v>
      </c>
      <c r="J8" s="1">
        <v>0.05</v>
      </c>
      <c r="K8" s="1">
        <f t="shared" si="0"/>
        <v>1004.04</v>
      </c>
      <c r="L8" s="12">
        <v>4.7250808729999996</v>
      </c>
      <c r="M8" s="5">
        <f t="shared" si="1"/>
        <v>4.7914176125579928</v>
      </c>
      <c r="N8" s="1">
        <v>3.14</v>
      </c>
      <c r="O8" s="5">
        <f t="shared" si="2"/>
        <v>15.10255135135135</v>
      </c>
    </row>
    <row r="9" spans="1:15" x14ac:dyDescent="0.3">
      <c r="A9" s="1">
        <v>8</v>
      </c>
      <c r="B9" s="1">
        <v>3.048</v>
      </c>
      <c r="C9" s="1">
        <v>76.2</v>
      </c>
      <c r="D9" s="1">
        <v>36.576000000000001</v>
      </c>
      <c r="E9" s="1">
        <v>5.0000000000000001E-4</v>
      </c>
      <c r="F9" s="1">
        <v>29.635999999999999</v>
      </c>
      <c r="G9" s="1">
        <v>2.4</v>
      </c>
      <c r="H9" s="1">
        <v>1.32</v>
      </c>
      <c r="I9" s="1">
        <v>110</v>
      </c>
      <c r="J9" s="1">
        <v>0.05</v>
      </c>
      <c r="K9" s="1">
        <f t="shared" si="0"/>
        <v>113.77</v>
      </c>
      <c r="L9" s="12">
        <v>4.7059998240000001</v>
      </c>
      <c r="M9" s="5">
        <f t="shared" si="1"/>
        <v>5.9318678980446871</v>
      </c>
      <c r="N9" s="1">
        <v>3.14</v>
      </c>
      <c r="O9" s="5">
        <f t="shared" si="2"/>
        <v>41.913766666666675</v>
      </c>
    </row>
    <row r="10" spans="1:15" x14ac:dyDescent="0.3">
      <c r="A10" s="1">
        <v>9</v>
      </c>
      <c r="B10" s="1">
        <v>7.62</v>
      </c>
      <c r="C10" s="1">
        <v>106.68</v>
      </c>
      <c r="D10" s="1">
        <v>45.72</v>
      </c>
      <c r="E10" s="1">
        <v>0.5</v>
      </c>
      <c r="F10" s="1">
        <v>0.67600000000000005</v>
      </c>
      <c r="G10" s="1">
        <v>2.1</v>
      </c>
      <c r="H10" s="1">
        <v>0.99</v>
      </c>
      <c r="I10" s="1">
        <v>65.8</v>
      </c>
      <c r="J10" s="1">
        <v>0.05</v>
      </c>
      <c r="K10" s="1">
        <f t="shared" si="0"/>
        <v>68.94</v>
      </c>
      <c r="L10" s="12">
        <v>4.6965506240000003</v>
      </c>
      <c r="M10" s="5">
        <f t="shared" si="1"/>
        <v>4.7426032526890642</v>
      </c>
      <c r="N10" s="1">
        <v>3.14</v>
      </c>
      <c r="O10" s="5">
        <f t="shared" si="2"/>
        <v>4.1507809523809529</v>
      </c>
    </row>
    <row r="11" spans="1:15" x14ac:dyDescent="0.3">
      <c r="A11" s="1">
        <v>10</v>
      </c>
      <c r="B11" s="1">
        <v>10.667999999999999</v>
      </c>
      <c r="C11" s="1">
        <v>350.52</v>
      </c>
      <c r="D11" s="1">
        <v>228.6</v>
      </c>
      <c r="E11" s="1">
        <v>5.0000000000000001E-4</v>
      </c>
      <c r="F11" s="1">
        <v>18.27</v>
      </c>
      <c r="G11" s="1">
        <v>1.9</v>
      </c>
      <c r="H11" s="1">
        <v>1.36</v>
      </c>
      <c r="I11" s="1">
        <v>84.1</v>
      </c>
      <c r="J11" s="1">
        <v>0.05</v>
      </c>
      <c r="K11" s="1">
        <f t="shared" si="0"/>
        <v>87.41</v>
      </c>
      <c r="L11" s="12">
        <v>4.7078686650000003</v>
      </c>
      <c r="M11" s="5">
        <f t="shared" si="1"/>
        <v>5.6918837720764222</v>
      </c>
      <c r="N11" s="1">
        <v>3.14</v>
      </c>
      <c r="O11" s="5">
        <f t="shared" si="2"/>
        <v>33.333578947368416</v>
      </c>
    </row>
    <row r="12" spans="1:15" x14ac:dyDescent="0.3">
      <c r="A12" s="1">
        <v>11</v>
      </c>
      <c r="B12" s="1">
        <v>6.4008000000000003</v>
      </c>
      <c r="C12" s="1">
        <v>182.88</v>
      </c>
      <c r="D12" s="1">
        <v>36.576000000000001</v>
      </c>
      <c r="E12" s="1">
        <v>0.01</v>
      </c>
      <c r="F12" s="1">
        <v>1.806</v>
      </c>
      <c r="G12" s="1">
        <v>5</v>
      </c>
      <c r="H12" s="1">
        <v>1.4</v>
      </c>
      <c r="I12" s="1">
        <v>865</v>
      </c>
      <c r="J12" s="1">
        <v>0.05</v>
      </c>
      <c r="K12" s="1">
        <f t="shared" si="0"/>
        <v>871.44999999999993</v>
      </c>
      <c r="L12" s="1">
        <v>4.7221665039999996</v>
      </c>
      <c r="M12" s="5">
        <f t="shared" si="1"/>
        <v>4.7319527599024891</v>
      </c>
      <c r="N12" s="1">
        <v>3.14</v>
      </c>
      <c r="O12" s="5">
        <f t="shared" si="2"/>
        <v>4.2741680000000004</v>
      </c>
    </row>
    <row r="13" spans="1:15" x14ac:dyDescent="0.3">
      <c r="A13" s="1">
        <v>12</v>
      </c>
      <c r="B13" s="1">
        <v>3.048</v>
      </c>
      <c r="C13" s="1">
        <v>42.671999999999997</v>
      </c>
      <c r="D13" s="1">
        <v>36.576000000000001</v>
      </c>
      <c r="E13" s="1">
        <v>5.0000000000000001E-3</v>
      </c>
      <c r="F13" s="1">
        <v>0.123</v>
      </c>
      <c r="G13" s="1">
        <v>6.5</v>
      </c>
      <c r="H13" s="1">
        <v>5.2</v>
      </c>
      <c r="I13" s="1">
        <v>237</v>
      </c>
      <c r="J13" s="1">
        <v>0.06</v>
      </c>
      <c r="K13" s="1">
        <f t="shared" si="0"/>
        <v>248.76</v>
      </c>
      <c r="L13" s="12">
        <v>4.6960162409999997</v>
      </c>
      <c r="M13" s="5">
        <f t="shared" si="1"/>
        <v>4.6983381978967795</v>
      </c>
      <c r="N13" s="1">
        <v>3.14</v>
      </c>
      <c r="O13" s="5">
        <f t="shared" si="2"/>
        <v>3.1994184615384622</v>
      </c>
    </row>
    <row r="14" spans="1:15" x14ac:dyDescent="0.3">
      <c r="A14" s="1">
        <v>13</v>
      </c>
      <c r="B14" s="1">
        <v>3.048</v>
      </c>
      <c r="C14" s="1">
        <v>109.72799999999999</v>
      </c>
      <c r="D14" s="1">
        <v>79.248000000000005</v>
      </c>
      <c r="E14" s="1">
        <v>5.0000000000000001E-4</v>
      </c>
      <c r="F14" s="1">
        <v>12.84</v>
      </c>
      <c r="G14" s="1">
        <v>6.5</v>
      </c>
      <c r="H14" s="1">
        <v>2.7</v>
      </c>
      <c r="I14" s="1">
        <v>20</v>
      </c>
      <c r="J14" s="1">
        <v>0.06</v>
      </c>
      <c r="K14" s="1">
        <f t="shared" si="0"/>
        <v>29.259999999999998</v>
      </c>
      <c r="L14" s="12">
        <v>4.4282638409999997</v>
      </c>
      <c r="M14" s="5">
        <f t="shared" si="1"/>
        <v>6.3714937698598764</v>
      </c>
      <c r="N14" s="1">
        <v>3.14</v>
      </c>
      <c r="O14" s="5">
        <f t="shared" si="2"/>
        <v>9.3427076923076928</v>
      </c>
    </row>
    <row r="15" spans="1:15" x14ac:dyDescent="0.3">
      <c r="A15" s="1">
        <v>14</v>
      </c>
      <c r="B15" s="1">
        <v>7.62</v>
      </c>
      <c r="C15" s="1">
        <v>219.45599999999999</v>
      </c>
      <c r="D15" s="1">
        <v>115.824</v>
      </c>
      <c r="E15" s="1">
        <v>5.0000000000000001E-4</v>
      </c>
      <c r="F15" s="1">
        <v>8.18</v>
      </c>
      <c r="G15" s="1">
        <v>8.6</v>
      </c>
      <c r="H15" s="1">
        <v>1.95</v>
      </c>
      <c r="I15" s="1">
        <v>13.3</v>
      </c>
      <c r="J15" s="1">
        <v>0.05</v>
      </c>
      <c r="K15" s="1">
        <f t="shared" si="0"/>
        <v>23.900000000000002</v>
      </c>
      <c r="L15" s="12">
        <v>4.2098326359999998</v>
      </c>
      <c r="M15" s="5">
        <f t="shared" si="1"/>
        <v>5.6506874879866098</v>
      </c>
      <c r="N15" s="1">
        <v>3.14</v>
      </c>
      <c r="O15" s="5">
        <f t="shared" si="2"/>
        <v>6.126651162790699</v>
      </c>
    </row>
    <row r="16" spans="1:15" x14ac:dyDescent="0.3">
      <c r="A16" s="1">
        <v>15</v>
      </c>
      <c r="B16" s="1">
        <v>3.048</v>
      </c>
      <c r="C16" s="1">
        <v>96.012</v>
      </c>
      <c r="D16" s="1">
        <v>76.2</v>
      </c>
      <c r="E16" s="1">
        <v>2.0000000000000001E-4</v>
      </c>
      <c r="F16" s="1">
        <v>13.8</v>
      </c>
      <c r="G16" s="1">
        <v>9</v>
      </c>
      <c r="H16" s="1">
        <v>1.7</v>
      </c>
      <c r="I16" s="1">
        <v>47</v>
      </c>
      <c r="J16" s="1">
        <v>0.06</v>
      </c>
      <c r="K16" s="1">
        <f t="shared" si="0"/>
        <v>57.760000000000005</v>
      </c>
      <c r="L16" s="12">
        <v>4.5061634350000004</v>
      </c>
      <c r="M16" s="5">
        <f t="shared" si="1"/>
        <v>5.5827745049965376</v>
      </c>
      <c r="N16" s="1">
        <v>3.14</v>
      </c>
      <c r="O16" s="5">
        <f t="shared" si="2"/>
        <v>7.9546666666666663</v>
      </c>
    </row>
    <row r="17" spans="1:15" x14ac:dyDescent="0.3">
      <c r="A17" s="1">
        <v>16</v>
      </c>
      <c r="B17" s="1">
        <v>6.0960000000000001</v>
      </c>
      <c r="C17" s="1">
        <v>53.34</v>
      </c>
      <c r="D17" s="1">
        <v>38.1</v>
      </c>
      <c r="E17" s="1">
        <v>0</v>
      </c>
      <c r="F17" s="1">
        <v>13.118</v>
      </c>
      <c r="G17" s="1">
        <v>9.3000000000000007</v>
      </c>
      <c r="H17" s="1">
        <v>8.42</v>
      </c>
      <c r="I17" s="1">
        <v>60</v>
      </c>
      <c r="J17" s="1">
        <v>0.08</v>
      </c>
      <c r="K17" s="1">
        <f t="shared" si="0"/>
        <v>77.8</v>
      </c>
      <c r="L17" s="12">
        <v>4.5751233930000001</v>
      </c>
      <c r="M17" s="5">
        <f t="shared" si="1"/>
        <v>5.3465432987760151</v>
      </c>
      <c r="N17" s="1">
        <v>3.14</v>
      </c>
      <c r="O17" s="5">
        <f t="shared" si="2"/>
        <v>7.5690881720430099</v>
      </c>
    </row>
    <row r="18" spans="1:15" x14ac:dyDescent="0.3">
      <c r="A18" s="1">
        <v>17</v>
      </c>
      <c r="B18" s="1">
        <v>4.5720000000000001</v>
      </c>
      <c r="C18" s="1">
        <v>128.01599999999999</v>
      </c>
      <c r="D18" s="1">
        <v>100.584</v>
      </c>
      <c r="E18" s="1">
        <v>0</v>
      </c>
      <c r="F18" s="1">
        <v>84.9</v>
      </c>
      <c r="G18" s="1">
        <v>8.1999999999999993</v>
      </c>
      <c r="H18" s="1">
        <v>0.46</v>
      </c>
      <c r="I18" s="1">
        <v>89</v>
      </c>
      <c r="J18" s="1">
        <v>3.0000000000000001E-3</v>
      </c>
      <c r="K18" s="1">
        <f t="shared" si="0"/>
        <v>97.662999999999997</v>
      </c>
      <c r="L18" s="12">
        <v>4.5985767380000002</v>
      </c>
      <c r="M18" s="5">
        <f t="shared" si="1"/>
        <v>8.5961926729620632</v>
      </c>
      <c r="N18" s="1">
        <v>3.14</v>
      </c>
      <c r="O18" s="5">
        <f t="shared" si="2"/>
        <v>35.650487804878054</v>
      </c>
    </row>
    <row r="19" spans="1:15" x14ac:dyDescent="0.3">
      <c r="A19" s="1">
        <v>18</v>
      </c>
      <c r="B19" s="1">
        <v>7.62</v>
      </c>
      <c r="C19" s="1">
        <v>914.4</v>
      </c>
      <c r="D19" s="1">
        <v>228.6</v>
      </c>
      <c r="E19" s="1">
        <v>1.4E-3</v>
      </c>
      <c r="F19" s="1">
        <v>22.9</v>
      </c>
      <c r="G19" s="1">
        <v>8.3000000000000007</v>
      </c>
      <c r="H19" s="1">
        <v>18.399999999999999</v>
      </c>
      <c r="I19" s="1">
        <v>64.099999999999994</v>
      </c>
      <c r="J19" s="1">
        <v>0.05</v>
      </c>
      <c r="K19" s="1">
        <f t="shared" si="0"/>
        <v>90.85</v>
      </c>
      <c r="L19" s="1">
        <v>4.6255365990000001</v>
      </c>
      <c r="M19" s="5">
        <f t="shared" si="1"/>
        <v>5.7914671231287844</v>
      </c>
      <c r="N19" s="1">
        <v>3.14</v>
      </c>
      <c r="O19" s="5">
        <f t="shared" si="2"/>
        <v>11.803373493975903</v>
      </c>
    </row>
    <row r="20" spans="1:15" x14ac:dyDescent="0.3">
      <c r="A20" s="1">
        <v>19</v>
      </c>
      <c r="B20" s="1">
        <v>9.1440000000000001</v>
      </c>
      <c r="C20" s="1">
        <v>192.024</v>
      </c>
      <c r="D20" s="1">
        <v>91.44</v>
      </c>
      <c r="E20" s="1">
        <v>5.0000000000000001E-4</v>
      </c>
      <c r="F20" s="1">
        <v>49.3</v>
      </c>
      <c r="G20" s="1">
        <v>7.5</v>
      </c>
      <c r="H20" s="1">
        <v>17.2</v>
      </c>
      <c r="I20" s="1">
        <v>83</v>
      </c>
      <c r="J20" s="1">
        <v>0.06</v>
      </c>
      <c r="K20" s="1">
        <f t="shared" si="0"/>
        <v>107.76</v>
      </c>
      <c r="L20" s="12">
        <v>4.6535913139999998</v>
      </c>
      <c r="M20" s="5">
        <f t="shared" si="1"/>
        <v>6.7826007032000737</v>
      </c>
      <c r="N20" s="1">
        <v>3.14</v>
      </c>
      <c r="O20" s="5">
        <f t="shared" si="2"/>
        <v>23.780266666666666</v>
      </c>
    </row>
    <row r="21" spans="1:15" x14ac:dyDescent="0.3">
      <c r="A21" s="1">
        <v>20</v>
      </c>
      <c r="B21" s="1">
        <v>3.048</v>
      </c>
      <c r="C21" s="1">
        <v>60.96</v>
      </c>
      <c r="D21" s="1">
        <v>53.34</v>
      </c>
      <c r="E21" s="1">
        <v>0</v>
      </c>
      <c r="F21" s="1">
        <v>90.21</v>
      </c>
      <c r="G21" s="1">
        <v>6.8</v>
      </c>
      <c r="H21" s="1">
        <v>7.67</v>
      </c>
      <c r="I21" s="1">
        <v>75.5</v>
      </c>
      <c r="J21" s="1">
        <v>0.22</v>
      </c>
      <c r="K21" s="1">
        <f t="shared" si="0"/>
        <v>90.19</v>
      </c>
      <c r="L21" s="12">
        <v>4.6657567359999996</v>
      </c>
      <c r="M21" s="5">
        <f t="shared" si="1"/>
        <v>9.3325481225679106</v>
      </c>
      <c r="N21" s="1">
        <v>3.14</v>
      </c>
      <c r="O21" s="5">
        <f t="shared" si="2"/>
        <v>44.795794117647056</v>
      </c>
    </row>
    <row r="22" spans="1:15" x14ac:dyDescent="0.3">
      <c r="A22" s="1">
        <v>21</v>
      </c>
      <c r="B22" s="1">
        <v>4.5720000000000001</v>
      </c>
      <c r="C22" s="1">
        <v>60.96</v>
      </c>
      <c r="D22" s="1">
        <v>45.72</v>
      </c>
      <c r="E22" s="1">
        <v>0</v>
      </c>
      <c r="F22" s="1">
        <v>0.46899999999999997</v>
      </c>
      <c r="G22" s="1">
        <v>11.2</v>
      </c>
      <c r="H22" s="1">
        <v>7.31</v>
      </c>
      <c r="I22" s="1">
        <v>436</v>
      </c>
      <c r="J22" s="1">
        <v>0.05</v>
      </c>
      <c r="K22" s="1">
        <f t="shared" si="0"/>
        <v>454.56</v>
      </c>
      <c r="L22" s="12">
        <v>4.6953819079999999</v>
      </c>
      <c r="M22" s="5">
        <f t="shared" si="1"/>
        <v>4.7002264480273936</v>
      </c>
      <c r="N22" s="1">
        <v>3.14</v>
      </c>
      <c r="O22" s="5">
        <f t="shared" si="2"/>
        <v>3.2714874999999997</v>
      </c>
    </row>
    <row r="23" spans="1:15" x14ac:dyDescent="0.3">
      <c r="A23" s="1">
        <v>22</v>
      </c>
      <c r="B23" s="1">
        <v>4.5720000000000001</v>
      </c>
      <c r="C23" s="1">
        <v>106.68</v>
      </c>
      <c r="D23" s="1">
        <v>60.96</v>
      </c>
      <c r="E23" s="1">
        <v>0.01</v>
      </c>
      <c r="F23" s="1">
        <v>20.95</v>
      </c>
      <c r="G23" s="1">
        <v>8.52</v>
      </c>
      <c r="H23" s="1">
        <v>2.5</v>
      </c>
      <c r="I23" s="1">
        <v>14.6</v>
      </c>
      <c r="J23" s="1">
        <v>0.1</v>
      </c>
      <c r="K23" s="1">
        <f t="shared" si="0"/>
        <v>25.72</v>
      </c>
      <c r="L23" s="12">
        <v>4.2883359250000002</v>
      </c>
      <c r="M23" s="5">
        <f t="shared" si="1"/>
        <v>7.7813622713744177</v>
      </c>
      <c r="N23" s="1">
        <v>3.14</v>
      </c>
      <c r="O23" s="5">
        <f t="shared" si="2"/>
        <v>10.861009389671363</v>
      </c>
    </row>
    <row r="24" spans="1:15" x14ac:dyDescent="0.3">
      <c r="A24" s="1">
        <v>23</v>
      </c>
      <c r="B24" s="1">
        <v>22</v>
      </c>
      <c r="C24" s="1">
        <v>420</v>
      </c>
      <c r="D24" s="1">
        <v>280</v>
      </c>
      <c r="E24" s="1">
        <v>0.01</v>
      </c>
      <c r="F24" s="1">
        <v>4.2460000000000004</v>
      </c>
      <c r="G24" s="1">
        <v>7.9</v>
      </c>
      <c r="H24" s="1">
        <v>3.45</v>
      </c>
      <c r="I24" s="1">
        <v>51.6</v>
      </c>
      <c r="J24" s="1">
        <v>0.05</v>
      </c>
      <c r="K24" s="1">
        <f t="shared" si="0"/>
        <v>63</v>
      </c>
      <c r="L24" s="12">
        <v>4.5537936510000003</v>
      </c>
      <c r="M24" s="5">
        <f t="shared" si="1"/>
        <v>4.8607048865896187</v>
      </c>
      <c r="N24" s="1">
        <v>3.14</v>
      </c>
      <c r="O24" s="5">
        <f t="shared" si="2"/>
        <v>4.8276506329113928</v>
      </c>
    </row>
    <row r="25" spans="1:15" x14ac:dyDescent="0.3">
      <c r="A25" s="1">
        <v>24</v>
      </c>
      <c r="B25" s="1">
        <v>6.0960000000000001</v>
      </c>
      <c r="C25" s="1">
        <v>207.26400000000001</v>
      </c>
      <c r="D25" s="1">
        <v>97.536000000000001</v>
      </c>
      <c r="E25" s="1">
        <v>0</v>
      </c>
      <c r="F25" s="1">
        <v>67</v>
      </c>
      <c r="G25" s="1">
        <v>3.7</v>
      </c>
      <c r="H25" s="1">
        <v>9.5</v>
      </c>
      <c r="I25" s="1">
        <v>2000</v>
      </c>
      <c r="J25" s="1">
        <v>0.06</v>
      </c>
      <c r="K25" s="1">
        <f t="shared" si="0"/>
        <v>2013.26</v>
      </c>
      <c r="L25" s="12">
        <v>4.7283187470000003</v>
      </c>
      <c r="M25" s="5">
        <f t="shared" si="1"/>
        <v>4.8856741586452923</v>
      </c>
      <c r="N25" s="1">
        <v>3.14</v>
      </c>
      <c r="O25" s="5">
        <f t="shared" si="2"/>
        <v>59.999459459459466</v>
      </c>
    </row>
    <row r="26" spans="1:15" x14ac:dyDescent="0.3">
      <c r="A26" s="1">
        <v>26</v>
      </c>
      <c r="B26" s="1">
        <v>8.5343999999999998</v>
      </c>
      <c r="C26" s="1">
        <v>71.3232</v>
      </c>
      <c r="D26" s="1">
        <v>47.5488</v>
      </c>
      <c r="E26" s="1">
        <v>1E-4</v>
      </c>
      <c r="F26" s="1">
        <v>25.4</v>
      </c>
      <c r="G26" s="1">
        <v>5.5</v>
      </c>
      <c r="H26" s="1">
        <v>0.9</v>
      </c>
      <c r="I26" s="1">
        <v>18</v>
      </c>
      <c r="J26" s="1">
        <v>0.1</v>
      </c>
      <c r="K26" s="1">
        <f t="shared" si="0"/>
        <v>24.5</v>
      </c>
      <c r="L26" s="12">
        <v>4.4513061220000001</v>
      </c>
      <c r="M26" s="5">
        <f t="shared" si="1"/>
        <v>9.0661296117469394</v>
      </c>
      <c r="N26" s="1">
        <v>3.14</v>
      </c>
      <c r="O26" s="5">
        <f t="shared" si="2"/>
        <v>17.641090909090909</v>
      </c>
    </row>
    <row r="27" spans="1:15" x14ac:dyDescent="0.3">
      <c r="A27" s="1">
        <v>27</v>
      </c>
      <c r="B27" s="1">
        <v>4.2671999999999999</v>
      </c>
      <c r="C27" s="1">
        <v>396.24</v>
      </c>
      <c r="D27" s="1">
        <v>121.92</v>
      </c>
      <c r="E27" s="1">
        <v>0</v>
      </c>
      <c r="F27" s="1">
        <v>1.504</v>
      </c>
      <c r="G27" s="1">
        <v>2.4</v>
      </c>
      <c r="H27" s="1">
        <v>1.5</v>
      </c>
      <c r="I27" s="1">
        <v>84.5</v>
      </c>
      <c r="J27" s="1">
        <v>0.01</v>
      </c>
      <c r="K27" s="1">
        <f t="shared" si="0"/>
        <v>88.410000000000011</v>
      </c>
      <c r="L27" s="1">
        <v>4.6916072839999998</v>
      </c>
      <c r="M27" s="5">
        <f t="shared" si="1"/>
        <v>4.7714192662999206</v>
      </c>
      <c r="N27" s="1">
        <v>3.14</v>
      </c>
      <c r="O27" s="5">
        <f t="shared" si="2"/>
        <v>5.1077333333333339</v>
      </c>
    </row>
    <row r="28" spans="1:15" x14ac:dyDescent="0.3">
      <c r="A28" s="1">
        <v>28</v>
      </c>
      <c r="B28" s="1">
        <v>2.1335999999999999</v>
      </c>
      <c r="C28" s="1">
        <v>457.2</v>
      </c>
      <c r="D28" s="1">
        <v>106.68</v>
      </c>
      <c r="E28" s="1">
        <v>2.3999999999999998E-3</v>
      </c>
      <c r="F28" s="1">
        <v>5.375</v>
      </c>
      <c r="G28" s="1">
        <v>5.5</v>
      </c>
      <c r="H28" s="1" t="s">
        <v>83</v>
      </c>
      <c r="I28" s="1">
        <v>1000</v>
      </c>
      <c r="J28" s="1">
        <v>0.02</v>
      </c>
      <c r="K28" s="1">
        <f t="shared" si="0"/>
        <v>1005.52</v>
      </c>
      <c r="L28" s="1">
        <v>4.7217012089999999</v>
      </c>
      <c r="M28" s="5">
        <f t="shared" si="1"/>
        <v>4.7469410291909204</v>
      </c>
      <c r="N28" s="1">
        <v>3.14</v>
      </c>
      <c r="O28" s="5">
        <f t="shared" si="2"/>
        <v>6.208636363636364</v>
      </c>
    </row>
    <row r="29" spans="1:15" x14ac:dyDescent="0.3">
      <c r="A29" s="1">
        <v>29</v>
      </c>
      <c r="B29" s="1">
        <v>2.1335999999999999</v>
      </c>
      <c r="C29" s="1">
        <v>57.302399999999999</v>
      </c>
      <c r="D29" s="1">
        <v>30.48</v>
      </c>
      <c r="E29" s="1">
        <v>4.0000000000000002E-4</v>
      </c>
      <c r="F29" s="1">
        <v>3.57</v>
      </c>
      <c r="H29" s="1" t="s">
        <v>83</v>
      </c>
      <c r="I29" s="1">
        <v>3.7</v>
      </c>
      <c r="J29" s="1">
        <v>0.18</v>
      </c>
      <c r="K29" s="1">
        <f t="shared" si="0"/>
        <v>3.8800000000000003</v>
      </c>
      <c r="L29" s="12">
        <v>5.5311855669999996</v>
      </c>
      <c r="M29" s="5">
        <f t="shared" si="1"/>
        <v>10.620446513956184</v>
      </c>
      <c r="N29" s="1">
        <v>3.14</v>
      </c>
      <c r="O29" s="5"/>
    </row>
    <row r="30" spans="1:15" x14ac:dyDescent="0.3">
      <c r="A30" s="1">
        <v>30</v>
      </c>
      <c r="B30" s="1">
        <v>3.05</v>
      </c>
      <c r="C30" s="1">
        <v>152</v>
      </c>
      <c r="D30" s="1">
        <v>84</v>
      </c>
      <c r="E30" s="1">
        <v>3.79E-4</v>
      </c>
      <c r="F30" s="1">
        <v>5.22</v>
      </c>
      <c r="G30" s="1">
        <v>5.7</v>
      </c>
      <c r="H30" s="1">
        <v>10.6</v>
      </c>
      <c r="I30" s="1">
        <v>11.3</v>
      </c>
      <c r="J30" s="1">
        <v>0.01</v>
      </c>
      <c r="K30" s="1">
        <f t="shared" si="0"/>
        <v>27.610000000000003</v>
      </c>
      <c r="L30" s="12">
        <v>4.467656646</v>
      </c>
      <c r="M30" s="5">
        <f t="shared" si="1"/>
        <v>5.3123204523064107</v>
      </c>
      <c r="N30" s="1">
        <v>3.14</v>
      </c>
      <c r="O30" s="5">
        <f t="shared" si="2"/>
        <v>6.0155789473684216</v>
      </c>
    </row>
    <row r="31" spans="1:15" x14ac:dyDescent="0.3">
      <c r="A31" s="1">
        <v>31</v>
      </c>
      <c r="B31" s="1">
        <v>9.14</v>
      </c>
      <c r="C31" s="1">
        <v>366</v>
      </c>
      <c r="D31" s="1">
        <v>61</v>
      </c>
      <c r="E31" s="1">
        <v>3.79E-4</v>
      </c>
      <c r="F31" s="1">
        <v>9.23</v>
      </c>
      <c r="G31" s="1">
        <v>2.8</v>
      </c>
      <c r="H31" s="1">
        <v>5.48</v>
      </c>
      <c r="I31" s="1">
        <v>6.38</v>
      </c>
      <c r="J31" s="1">
        <v>0.05</v>
      </c>
      <c r="K31" s="1">
        <f t="shared" si="0"/>
        <v>14.71</v>
      </c>
      <c r="L31" s="12">
        <v>4.5438341260000001</v>
      </c>
      <c r="M31" s="5">
        <f t="shared" si="1"/>
        <v>7.3949278705941532</v>
      </c>
      <c r="N31" s="1">
        <v>3.14</v>
      </c>
      <c r="O31" s="5">
        <f t="shared" si="2"/>
        <v>13.490785714285716</v>
      </c>
    </row>
    <row r="32" spans="1:15" x14ac:dyDescent="0.3">
      <c r="A32" s="1">
        <v>32</v>
      </c>
      <c r="B32" s="1">
        <v>6.1</v>
      </c>
      <c r="C32" s="1">
        <v>168</v>
      </c>
      <c r="D32" s="1">
        <v>61</v>
      </c>
      <c r="E32" s="1">
        <v>3.79E-4</v>
      </c>
      <c r="F32" s="1">
        <v>2.84</v>
      </c>
      <c r="G32" s="1">
        <v>0.6</v>
      </c>
      <c r="H32" s="1" t="s">
        <v>83</v>
      </c>
      <c r="I32" s="1">
        <v>23.6</v>
      </c>
      <c r="J32" s="1">
        <v>0.4</v>
      </c>
      <c r="K32" s="1">
        <f t="shared" si="0"/>
        <v>24.6</v>
      </c>
      <c r="L32" s="12">
        <v>4.9722764230000003</v>
      </c>
      <c r="M32" s="5">
        <f t="shared" si="1"/>
        <v>5.5463115872813011</v>
      </c>
      <c r="N32" s="1">
        <v>3.14</v>
      </c>
      <c r="O32" s="5">
        <f t="shared" si="2"/>
        <v>18.002666666666666</v>
      </c>
    </row>
    <row r="33" spans="1:15" x14ac:dyDescent="0.3">
      <c r="A33" s="1">
        <v>33</v>
      </c>
      <c r="B33" s="1" t="s">
        <v>82</v>
      </c>
      <c r="C33" s="1">
        <v>107</v>
      </c>
      <c r="D33" s="1">
        <v>84</v>
      </c>
      <c r="E33" s="1">
        <v>1.01E-5</v>
      </c>
      <c r="F33" s="1">
        <v>5.48</v>
      </c>
      <c r="G33" s="1">
        <v>7.4</v>
      </c>
      <c r="H33" s="1" t="s">
        <v>83</v>
      </c>
      <c r="I33" s="1">
        <v>1332</v>
      </c>
      <c r="J33" s="1">
        <v>0.01</v>
      </c>
      <c r="K33" s="1">
        <f t="shared" si="0"/>
        <v>1339.41</v>
      </c>
      <c r="L33" s="1">
        <v>4.721399721</v>
      </c>
      <c r="M33" s="5">
        <f t="shared" si="1"/>
        <v>4.7407166370086014</v>
      </c>
      <c r="N33" s="7">
        <v>3.14</v>
      </c>
      <c r="O33" s="5">
        <f t="shared" si="2"/>
        <v>5.4652972972972975</v>
      </c>
    </row>
    <row r="34" spans="1:15" x14ac:dyDescent="0.3">
      <c r="A34" s="1">
        <v>34</v>
      </c>
      <c r="B34" s="1">
        <v>3.05</v>
      </c>
      <c r="C34" s="1">
        <v>85</v>
      </c>
      <c r="D34" s="1">
        <v>110</v>
      </c>
      <c r="E34" s="1">
        <v>1E-4</v>
      </c>
      <c r="F34" s="1">
        <v>48.65</v>
      </c>
      <c r="G34" s="1">
        <v>0.42</v>
      </c>
      <c r="H34" s="1" t="s">
        <v>83</v>
      </c>
      <c r="I34" s="1">
        <v>43.83</v>
      </c>
      <c r="J34" s="1">
        <v>3.34</v>
      </c>
      <c r="K34" s="1">
        <f t="shared" si="0"/>
        <v>47.59</v>
      </c>
      <c r="L34" s="12">
        <v>5.9281130490000002</v>
      </c>
      <c r="M34" s="5">
        <f t="shared" si="1"/>
        <v>11.988266439078798</v>
      </c>
      <c r="N34" s="7">
        <v>3.14</v>
      </c>
      <c r="O34" s="5">
        <f t="shared" si="2"/>
        <v>366.85666666666668</v>
      </c>
    </row>
    <row r="35" spans="1:15" x14ac:dyDescent="0.3">
      <c r="A35" s="1">
        <v>35</v>
      </c>
      <c r="B35" s="1">
        <v>10.67</v>
      </c>
      <c r="C35" s="1">
        <v>229</v>
      </c>
      <c r="D35" s="1">
        <v>43</v>
      </c>
      <c r="E35" s="1">
        <v>1E-4</v>
      </c>
      <c r="F35" s="1">
        <v>18.27</v>
      </c>
      <c r="G35" s="1">
        <v>1.9</v>
      </c>
      <c r="H35" s="1">
        <v>0.15</v>
      </c>
      <c r="I35" s="1">
        <v>21.4</v>
      </c>
      <c r="J35" s="1">
        <v>2</v>
      </c>
      <c r="K35" s="1">
        <f t="shared" si="0"/>
        <v>25.45</v>
      </c>
      <c r="L35" s="12">
        <v>5.9700982319999998</v>
      </c>
      <c r="M35" s="5">
        <f t="shared" si="1"/>
        <v>10.255901560040863</v>
      </c>
      <c r="N35" s="1">
        <v>3.14</v>
      </c>
      <c r="O35" s="5">
        <f t="shared" si="2"/>
        <v>33.333578947368416</v>
      </c>
    </row>
    <row r="36" spans="1:15" x14ac:dyDescent="0.3">
      <c r="A36" s="1">
        <v>36</v>
      </c>
      <c r="B36" s="1">
        <v>9.14</v>
      </c>
      <c r="C36" s="1">
        <v>198</v>
      </c>
      <c r="D36" s="1">
        <v>130</v>
      </c>
      <c r="E36" s="1">
        <v>4.0000000000000002E-4</v>
      </c>
      <c r="F36" s="1">
        <v>3.23</v>
      </c>
      <c r="G36" s="1">
        <v>0.1</v>
      </c>
      <c r="H36" s="1">
        <v>0</v>
      </c>
      <c r="I36" s="1">
        <v>33.1</v>
      </c>
      <c r="J36" s="1">
        <v>8</v>
      </c>
      <c r="K36" s="1">
        <f t="shared" si="0"/>
        <v>41.2</v>
      </c>
      <c r="L36" s="12">
        <v>8.0795631070000002</v>
      </c>
      <c r="M36" s="5">
        <f t="shared" si="1"/>
        <v>8.7129851661167468</v>
      </c>
      <c r="N36" s="1">
        <v>3.14</v>
      </c>
      <c r="O36" s="5">
        <f t="shared" si="2"/>
        <v>104.562</v>
      </c>
    </row>
    <row r="37" spans="1:15" x14ac:dyDescent="0.3">
      <c r="A37" s="1">
        <v>37</v>
      </c>
      <c r="B37" s="1">
        <v>15.24</v>
      </c>
      <c r="C37" s="1">
        <v>853</v>
      </c>
      <c r="D37" s="1">
        <v>152</v>
      </c>
      <c r="E37" s="1">
        <v>4.0000000000000002E-4</v>
      </c>
      <c r="F37" s="1">
        <v>6.01</v>
      </c>
      <c r="G37" s="1">
        <v>10</v>
      </c>
      <c r="H37" s="1">
        <v>0.44</v>
      </c>
      <c r="I37" s="1">
        <v>21.35</v>
      </c>
      <c r="J37" s="1">
        <v>0.05</v>
      </c>
      <c r="K37" s="1">
        <f t="shared" si="0"/>
        <v>31.84</v>
      </c>
      <c r="L37" s="12">
        <v>4.2629616830000003</v>
      </c>
      <c r="M37" s="5">
        <f t="shared" si="1"/>
        <v>5.0676224780637567</v>
      </c>
      <c r="N37" s="1">
        <v>3.14</v>
      </c>
      <c r="O37" s="5">
        <f t="shared" si="2"/>
        <v>5.0271399999999993</v>
      </c>
    </row>
    <row r="38" spans="1:15" x14ac:dyDescent="0.3">
      <c r="A38" s="1">
        <v>38</v>
      </c>
      <c r="B38" s="1">
        <v>2.44</v>
      </c>
      <c r="C38" s="1">
        <v>30</v>
      </c>
      <c r="D38" s="1">
        <v>24</v>
      </c>
      <c r="E38" s="1">
        <v>1E-3</v>
      </c>
      <c r="F38" s="1">
        <v>0.96</v>
      </c>
      <c r="G38" s="1">
        <v>3.9</v>
      </c>
      <c r="H38" s="1">
        <v>9.1</v>
      </c>
      <c r="I38" s="1">
        <v>1443</v>
      </c>
      <c r="J38" s="1">
        <v>0.05</v>
      </c>
      <c r="K38" s="1">
        <f t="shared" si="0"/>
        <v>1456.05</v>
      </c>
      <c r="L38" s="1">
        <v>4.727298513</v>
      </c>
      <c r="M38" s="5">
        <f t="shared" si="1"/>
        <v>4.7304153060857326</v>
      </c>
      <c r="N38" s="1">
        <v>3.14</v>
      </c>
      <c r="O38" s="5">
        <f t="shared" si="2"/>
        <v>3.9129230769230765</v>
      </c>
    </row>
    <row r="39" spans="1:15" x14ac:dyDescent="0.3">
      <c r="A39" s="1">
        <v>39</v>
      </c>
      <c r="B39" s="1">
        <v>2.44</v>
      </c>
      <c r="C39" s="1">
        <v>64</v>
      </c>
      <c r="D39" s="1">
        <v>50</v>
      </c>
      <c r="E39" s="1">
        <v>1E-4</v>
      </c>
      <c r="F39" s="1">
        <v>13.8</v>
      </c>
      <c r="G39" s="1">
        <v>7.6</v>
      </c>
      <c r="H39" s="1">
        <v>1.7</v>
      </c>
      <c r="I39" s="1">
        <v>26.9</v>
      </c>
      <c r="J39" s="1">
        <v>0.04</v>
      </c>
      <c r="K39" s="1">
        <f t="shared" si="0"/>
        <v>36.239999999999995</v>
      </c>
      <c r="L39" s="12">
        <v>4.4247516559999998</v>
      </c>
      <c r="M39" s="5">
        <f t="shared" si="1"/>
        <v>6.1096736442119202</v>
      </c>
      <c r="N39" s="1">
        <v>3.14</v>
      </c>
      <c r="O39" s="5">
        <f t="shared" si="2"/>
        <v>8.8415789473684221</v>
      </c>
    </row>
    <row r="40" spans="1:15" x14ac:dyDescent="0.3">
      <c r="A40" s="1">
        <v>40</v>
      </c>
      <c r="B40" s="1">
        <v>16.760000000000002</v>
      </c>
      <c r="C40" s="1">
        <v>244</v>
      </c>
      <c r="D40" s="1">
        <v>107</v>
      </c>
      <c r="E40" s="1">
        <v>1E-3</v>
      </c>
      <c r="F40" s="1">
        <v>32.56</v>
      </c>
      <c r="G40" s="1">
        <v>9.82</v>
      </c>
      <c r="H40" s="1">
        <v>4</v>
      </c>
      <c r="I40" s="1">
        <v>12.1</v>
      </c>
      <c r="J40" s="1">
        <v>0.05</v>
      </c>
      <c r="K40" s="1">
        <f t="shared" si="0"/>
        <v>25.970000000000002</v>
      </c>
      <c r="L40" s="12">
        <v>4.1008058180000004</v>
      </c>
      <c r="M40" s="5">
        <f t="shared" si="1"/>
        <v>9.2422088766861759</v>
      </c>
      <c r="N40" s="1">
        <v>3.14</v>
      </c>
      <c r="O40" s="5">
        <f t="shared" si="2"/>
        <v>13.551242362525459</v>
      </c>
    </row>
    <row r="41" spans="1:15" x14ac:dyDescent="0.3">
      <c r="A41" s="1">
        <v>41</v>
      </c>
      <c r="B41" s="1">
        <v>9.14</v>
      </c>
      <c r="C41" s="1">
        <v>549</v>
      </c>
      <c r="D41" s="1">
        <v>366</v>
      </c>
      <c r="E41" s="1">
        <v>4.0000000000000002E-4</v>
      </c>
      <c r="F41" s="1">
        <v>15.6</v>
      </c>
      <c r="G41" s="1">
        <v>10.43</v>
      </c>
      <c r="H41" s="1">
        <v>2</v>
      </c>
      <c r="I41" s="1">
        <v>13</v>
      </c>
      <c r="J41" s="1">
        <v>0.01</v>
      </c>
      <c r="K41" s="1">
        <f t="shared" si="0"/>
        <v>25.44</v>
      </c>
      <c r="L41" s="12">
        <v>4.1008058180000004</v>
      </c>
      <c r="M41" s="5">
        <f t="shared" si="1"/>
        <v>6.6154508950754725</v>
      </c>
      <c r="N41" s="1">
        <v>3.14</v>
      </c>
      <c r="O41" s="5">
        <f t="shared" si="2"/>
        <v>7.8364525407478443</v>
      </c>
    </row>
    <row r="42" spans="1:15" x14ac:dyDescent="0.3">
      <c r="A42" s="1">
        <v>42</v>
      </c>
      <c r="B42" s="1">
        <v>6.1</v>
      </c>
      <c r="C42" s="1">
        <v>152</v>
      </c>
      <c r="D42" s="1">
        <v>46</v>
      </c>
      <c r="E42" s="1">
        <v>4.0000000000000002E-4</v>
      </c>
      <c r="F42" s="1">
        <v>9.23</v>
      </c>
      <c r="G42" s="1">
        <v>7.7</v>
      </c>
      <c r="H42" s="1" t="s">
        <v>83</v>
      </c>
      <c r="I42" s="1">
        <v>9.43</v>
      </c>
      <c r="J42" s="1">
        <v>0.01</v>
      </c>
      <c r="K42" s="1">
        <f t="shared" si="0"/>
        <v>17.14</v>
      </c>
      <c r="L42" s="12">
        <v>4.0302742120000001</v>
      </c>
      <c r="M42" s="5">
        <f t="shared" si="1"/>
        <v>6.2006027403990673</v>
      </c>
      <c r="N42" s="1">
        <v>3.14</v>
      </c>
      <c r="O42" s="5">
        <f t="shared" si="2"/>
        <v>6.9039220779220782</v>
      </c>
    </row>
    <row r="43" spans="1:15" x14ac:dyDescent="0.3">
      <c r="A43" s="1">
        <v>43</v>
      </c>
      <c r="B43" s="1">
        <v>3.66</v>
      </c>
      <c r="C43" s="1">
        <v>96</v>
      </c>
      <c r="D43" s="1">
        <v>32</v>
      </c>
      <c r="E43" s="1">
        <v>4.0000000000000002E-4</v>
      </c>
      <c r="F43" s="1">
        <v>3.13</v>
      </c>
      <c r="G43" s="1">
        <v>8</v>
      </c>
      <c r="H43" s="1">
        <v>6</v>
      </c>
      <c r="I43" s="1">
        <v>14.5</v>
      </c>
      <c r="J43" s="1">
        <v>0.05</v>
      </c>
      <c r="K43" s="1">
        <f t="shared" si="0"/>
        <v>28.55</v>
      </c>
      <c r="L43" s="12">
        <v>4.3490367780000003</v>
      </c>
      <c r="M43" s="5">
        <f t="shared" si="1"/>
        <v>4.8258313529611208</v>
      </c>
      <c r="N43" s="1">
        <v>3.14</v>
      </c>
      <c r="O43" s="5">
        <f t="shared" si="2"/>
        <v>4.368525</v>
      </c>
    </row>
    <row r="44" spans="1:15" x14ac:dyDescent="0.3">
      <c r="A44" s="1">
        <v>44</v>
      </c>
      <c r="B44" s="1">
        <v>12</v>
      </c>
      <c r="C44" s="1">
        <v>140</v>
      </c>
      <c r="D44" s="1" t="s">
        <v>83</v>
      </c>
      <c r="E44" s="1">
        <v>1.0000000000000001E-5</v>
      </c>
      <c r="F44" s="1">
        <v>7.0000000000000007E-2</v>
      </c>
      <c r="G44" s="1">
        <v>1</v>
      </c>
      <c r="H44" s="1">
        <v>12</v>
      </c>
      <c r="I44" s="1">
        <v>54</v>
      </c>
      <c r="J44" s="1">
        <v>19</v>
      </c>
      <c r="K44" s="1">
        <f t="shared" si="0"/>
        <v>86</v>
      </c>
      <c r="L44" s="12">
        <v>8.6</v>
      </c>
      <c r="M44" s="5">
        <f t="shared" si="1"/>
        <v>8.6069999999999993</v>
      </c>
      <c r="N44" s="1">
        <v>3.17</v>
      </c>
      <c r="O44" s="5">
        <f t="shared" si="2"/>
        <v>3.3919000000000001</v>
      </c>
    </row>
    <row r="45" spans="1:15" x14ac:dyDescent="0.3">
      <c r="A45" s="1">
        <v>45</v>
      </c>
      <c r="B45" s="1">
        <v>12</v>
      </c>
      <c r="C45" s="1">
        <v>90</v>
      </c>
      <c r="D45" s="1" t="s">
        <v>83</v>
      </c>
      <c r="E45" s="1">
        <v>1.0000000000000001E-5</v>
      </c>
      <c r="F45" s="1">
        <v>0.04</v>
      </c>
      <c r="G45" s="1">
        <v>1</v>
      </c>
      <c r="H45" s="1">
        <v>12</v>
      </c>
      <c r="I45" s="1">
        <v>54</v>
      </c>
      <c r="J45" s="1">
        <v>19</v>
      </c>
      <c r="K45" s="1">
        <f t="shared" si="0"/>
        <v>86</v>
      </c>
      <c r="L45" s="12">
        <v>8.4916279069999998</v>
      </c>
      <c r="M45" s="5">
        <f t="shared" si="1"/>
        <v>8.4955775013753492</v>
      </c>
      <c r="N45" s="1">
        <v>3.13</v>
      </c>
      <c r="O45" s="5">
        <f t="shared" si="2"/>
        <v>3.2551999999999999</v>
      </c>
    </row>
    <row r="46" spans="1:15" x14ac:dyDescent="0.3">
      <c r="A46" s="1">
        <v>46</v>
      </c>
      <c r="B46" s="1">
        <v>12</v>
      </c>
      <c r="C46" s="1">
        <v>120</v>
      </c>
      <c r="D46" s="1" t="s">
        <v>83</v>
      </c>
      <c r="E46" s="1">
        <v>1.0000000000000001E-5</v>
      </c>
      <c r="F46" s="1">
        <v>1.3</v>
      </c>
      <c r="G46" s="1">
        <v>1</v>
      </c>
      <c r="H46" s="1">
        <v>12</v>
      </c>
      <c r="I46" s="1">
        <v>54</v>
      </c>
      <c r="J46" s="1">
        <v>19</v>
      </c>
      <c r="K46" s="1">
        <f t="shared" si="0"/>
        <v>86</v>
      </c>
      <c r="L46" s="12">
        <v>8.5233720930000008</v>
      </c>
      <c r="M46" s="5">
        <f t="shared" si="1"/>
        <v>8.6522137641732559</v>
      </c>
      <c r="N46" s="1">
        <v>3.17</v>
      </c>
      <c r="O46" s="5">
        <f t="shared" si="2"/>
        <v>7.2909999999999995</v>
      </c>
    </row>
    <row r="47" spans="1:15" x14ac:dyDescent="0.3">
      <c r="A47" s="1">
        <v>47</v>
      </c>
      <c r="B47" s="1">
        <v>12</v>
      </c>
      <c r="C47" s="1">
        <v>90</v>
      </c>
      <c r="D47" s="1" t="s">
        <v>83</v>
      </c>
      <c r="E47" s="1">
        <v>1.0000000000000001E-5</v>
      </c>
      <c r="F47" s="1">
        <v>2.4</v>
      </c>
      <c r="G47" s="1">
        <v>2</v>
      </c>
      <c r="H47" s="1">
        <v>10</v>
      </c>
      <c r="I47" s="1">
        <v>40</v>
      </c>
      <c r="J47" s="1">
        <v>40</v>
      </c>
      <c r="K47" s="1">
        <f t="shared" si="0"/>
        <v>92</v>
      </c>
      <c r="L47" s="12">
        <v>12.17543478</v>
      </c>
      <c r="M47" s="5">
        <f t="shared" si="1"/>
        <v>12.493054817739131</v>
      </c>
      <c r="N47" s="1">
        <v>3.17</v>
      </c>
      <c r="O47" s="5">
        <f t="shared" si="2"/>
        <v>6.9740000000000002</v>
      </c>
    </row>
    <row r="48" spans="1:15" x14ac:dyDescent="0.3">
      <c r="A48" s="1">
        <v>48</v>
      </c>
      <c r="B48" s="1">
        <v>12</v>
      </c>
      <c r="C48" s="1">
        <v>60</v>
      </c>
      <c r="D48" s="1" t="s">
        <v>83</v>
      </c>
      <c r="E48" s="1">
        <v>1.0000000000000001E-5</v>
      </c>
      <c r="F48" s="1">
        <v>1.4</v>
      </c>
      <c r="G48" s="1">
        <v>2</v>
      </c>
      <c r="H48" s="1">
        <v>10</v>
      </c>
      <c r="I48" s="1">
        <v>40</v>
      </c>
      <c r="J48" s="1">
        <v>40</v>
      </c>
      <c r="K48" s="1">
        <f t="shared" si="0"/>
        <v>92</v>
      </c>
      <c r="L48" s="12">
        <v>12.17543478</v>
      </c>
      <c r="M48" s="5">
        <f t="shared" si="1"/>
        <v>12.360713135347826</v>
      </c>
      <c r="N48" s="1">
        <v>3.17</v>
      </c>
      <c r="O48" s="5">
        <f t="shared" si="2"/>
        <v>5.3889999999999993</v>
      </c>
    </row>
    <row r="49" spans="1:15" x14ac:dyDescent="0.3">
      <c r="A49" s="1">
        <v>49</v>
      </c>
      <c r="B49" s="1">
        <v>12</v>
      </c>
      <c r="C49" s="1">
        <v>90</v>
      </c>
      <c r="D49" s="1" t="s">
        <v>83</v>
      </c>
      <c r="E49" s="1">
        <v>1.0000000000000001E-5</v>
      </c>
      <c r="F49" s="1">
        <v>0.7</v>
      </c>
      <c r="G49" s="1">
        <v>2</v>
      </c>
      <c r="H49" s="1">
        <v>10</v>
      </c>
      <c r="I49" s="1">
        <v>40</v>
      </c>
      <c r="J49" s="1">
        <v>40</v>
      </c>
      <c r="K49" s="1">
        <f t="shared" si="0"/>
        <v>92</v>
      </c>
      <c r="L49" s="12">
        <v>12.29391304</v>
      </c>
      <c r="M49" s="5">
        <f t="shared" si="1"/>
        <v>12.387453682695652</v>
      </c>
      <c r="N49" s="1">
        <v>3.17</v>
      </c>
      <c r="O49" s="5">
        <f t="shared" si="2"/>
        <v>4.2795000000000005</v>
      </c>
    </row>
    <row r="50" spans="1:15" x14ac:dyDescent="0.3">
      <c r="A50" s="1">
        <v>52</v>
      </c>
      <c r="B50" s="1">
        <v>15</v>
      </c>
      <c r="C50" s="1">
        <v>160</v>
      </c>
      <c r="D50" s="1" t="s">
        <v>83</v>
      </c>
      <c r="E50" s="1">
        <v>2.0000000000000002E-5</v>
      </c>
      <c r="F50" s="1">
        <v>0.31</v>
      </c>
      <c r="G50" s="1">
        <v>1</v>
      </c>
      <c r="H50" s="1" t="s">
        <v>83</v>
      </c>
      <c r="I50" s="1">
        <v>200</v>
      </c>
      <c r="J50" s="1">
        <v>2</v>
      </c>
      <c r="K50" s="1">
        <f t="shared" si="0"/>
        <v>203</v>
      </c>
      <c r="L50" s="12">
        <v>4.8923645320000002</v>
      </c>
      <c r="M50" s="5">
        <f t="shared" si="1"/>
        <v>4.8998356305464048</v>
      </c>
      <c r="N50" s="17">
        <v>3.14</v>
      </c>
      <c r="O50" s="5">
        <f t="shared" si="2"/>
        <v>4.1134000000000004</v>
      </c>
    </row>
    <row r="51" spans="1:15" x14ac:dyDescent="0.3">
      <c r="A51" s="1">
        <v>54</v>
      </c>
      <c r="B51" s="1">
        <v>11</v>
      </c>
      <c r="C51" s="1">
        <v>250</v>
      </c>
      <c r="D51" s="1" t="s">
        <v>83</v>
      </c>
      <c r="E51" s="1">
        <v>5.0000000000000001E-4</v>
      </c>
      <c r="F51" s="1">
        <v>33</v>
      </c>
      <c r="G51" s="1">
        <v>7.5</v>
      </c>
      <c r="H51" s="1">
        <v>0.5</v>
      </c>
      <c r="I51" s="1">
        <v>17</v>
      </c>
      <c r="J51" s="1" t="s">
        <v>83</v>
      </c>
      <c r="K51" s="1">
        <f t="shared" si="0"/>
        <v>25</v>
      </c>
      <c r="L51" s="12">
        <v>4.2590000000000003</v>
      </c>
      <c r="M51" s="5">
        <f t="shared" si="1"/>
        <v>9.8808799999999994</v>
      </c>
      <c r="N51" s="17">
        <v>3.14</v>
      </c>
      <c r="O51" s="5">
        <f t="shared" si="2"/>
        <v>16.956000000000003</v>
      </c>
    </row>
    <row r="52" spans="1:15" x14ac:dyDescent="0.3">
      <c r="A52" s="1">
        <v>55</v>
      </c>
      <c r="B52" s="1">
        <v>7.4</v>
      </c>
      <c r="C52" s="1">
        <v>200</v>
      </c>
      <c r="D52" s="1" t="s">
        <v>83</v>
      </c>
      <c r="E52" s="1">
        <v>5.0000000000000001E-4</v>
      </c>
      <c r="F52" s="1">
        <v>123</v>
      </c>
      <c r="G52" s="1">
        <v>1.6</v>
      </c>
      <c r="H52" s="1">
        <v>1</v>
      </c>
      <c r="I52" s="1">
        <v>1400</v>
      </c>
      <c r="J52" s="1" t="s">
        <v>83</v>
      </c>
      <c r="K52" s="1">
        <f t="shared" si="0"/>
        <v>1402.6</v>
      </c>
      <c r="L52" s="12">
        <v>8.4875000000000007</v>
      </c>
      <c r="M52" s="5">
        <f t="shared" si="1"/>
        <v>9.2318052188792254</v>
      </c>
      <c r="N52" s="17">
        <v>3.08</v>
      </c>
      <c r="O52" s="5">
        <f t="shared" si="2"/>
        <v>239.85499999999996</v>
      </c>
    </row>
    <row r="53" spans="1:15" x14ac:dyDescent="0.3">
      <c r="A53" s="1">
        <v>56</v>
      </c>
      <c r="B53" s="1">
        <v>6</v>
      </c>
      <c r="C53" s="1">
        <v>500</v>
      </c>
      <c r="D53" s="1" t="s">
        <v>83</v>
      </c>
      <c r="E53" s="1">
        <v>1.6999999999999999E-3</v>
      </c>
      <c r="F53" s="1">
        <v>230</v>
      </c>
      <c r="G53" s="1">
        <v>0.6</v>
      </c>
      <c r="H53" s="1">
        <v>5</v>
      </c>
      <c r="I53" s="1">
        <v>650</v>
      </c>
      <c r="J53" s="1">
        <v>0.3</v>
      </c>
      <c r="K53" s="1">
        <f t="shared" si="0"/>
        <v>655.9</v>
      </c>
      <c r="L53" s="12">
        <v>4.7375971950000002</v>
      </c>
      <c r="M53" s="5">
        <f t="shared" si="1"/>
        <v>6.3988982391378268</v>
      </c>
      <c r="N53" s="17">
        <v>3.14</v>
      </c>
      <c r="O53" s="5">
        <f t="shared" si="2"/>
        <v>1206.8066666666666</v>
      </c>
    </row>
    <row r="54" spans="1:15" x14ac:dyDescent="0.3">
      <c r="A54" s="1">
        <v>57</v>
      </c>
      <c r="B54" s="1">
        <v>10</v>
      </c>
      <c r="C54" s="1">
        <v>100</v>
      </c>
      <c r="D54" s="1">
        <v>50</v>
      </c>
      <c r="E54" s="1">
        <v>1</v>
      </c>
      <c r="F54" s="1">
        <v>0.01</v>
      </c>
      <c r="G54" s="1">
        <v>4</v>
      </c>
      <c r="H54" s="1" t="s">
        <v>83</v>
      </c>
      <c r="I54" s="1" t="s">
        <v>83</v>
      </c>
      <c r="J54" s="1" t="s">
        <v>83</v>
      </c>
      <c r="K54" s="1">
        <f t="shared" si="0"/>
        <v>4</v>
      </c>
      <c r="L54" s="12">
        <v>3.08</v>
      </c>
      <c r="M54" s="5">
        <f t="shared" si="1"/>
        <v>3.0876999999999999</v>
      </c>
      <c r="N54" s="17">
        <v>3.08</v>
      </c>
      <c r="O54" s="5">
        <f t="shared" si="2"/>
        <v>3.0876999999999999</v>
      </c>
    </row>
    <row r="55" spans="1:15" x14ac:dyDescent="0.3">
      <c r="A55" s="1">
        <v>61</v>
      </c>
      <c r="B55" s="1">
        <v>3</v>
      </c>
      <c r="C55" s="1">
        <v>250</v>
      </c>
      <c r="D55" s="1">
        <v>15</v>
      </c>
      <c r="E55" s="1">
        <v>1.5E-5</v>
      </c>
      <c r="F55" s="1">
        <v>8.9</v>
      </c>
      <c r="G55" s="1">
        <v>0.99</v>
      </c>
      <c r="H55" s="1">
        <v>13.43</v>
      </c>
      <c r="I55" s="1">
        <v>481</v>
      </c>
      <c r="J55" s="1">
        <v>0.19</v>
      </c>
      <c r="K55" s="1">
        <f t="shared" si="0"/>
        <v>495.61</v>
      </c>
      <c r="L55" s="1">
        <v>4.737529307</v>
      </c>
      <c r="M55" s="5">
        <f t="shared" si="1"/>
        <v>4.8226042869889021</v>
      </c>
      <c r="N55" s="17">
        <v>3.14</v>
      </c>
      <c r="O55" s="5">
        <f t="shared" si="2"/>
        <v>31.368282828282833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E0C3-C7D7-49D4-8CC5-449BE8F4D880}">
  <dimension ref="A1:J10"/>
  <sheetViews>
    <sheetView workbookViewId="0">
      <selection activeCell="B15" sqref="B15"/>
    </sheetView>
  </sheetViews>
  <sheetFormatPr defaultRowHeight="14.4" x14ac:dyDescent="0.3"/>
  <sheetData>
    <row r="1" spans="1:10" s="14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</row>
    <row r="2" spans="1:10" x14ac:dyDescent="0.3">
      <c r="A2" s="19">
        <v>20</v>
      </c>
      <c r="B2" s="19">
        <v>1.524</v>
      </c>
      <c r="C2" s="19">
        <v>0.05</v>
      </c>
      <c r="D2" s="19">
        <f>C2*2</f>
        <v>0.1</v>
      </c>
      <c r="E2" s="19">
        <v>90.21</v>
      </c>
      <c r="F2" s="19">
        <v>6.8</v>
      </c>
      <c r="G2" s="19">
        <v>3.14</v>
      </c>
      <c r="H2" s="19">
        <v>60.96</v>
      </c>
      <c r="I2" s="19">
        <v>2.0100000000000001E-3</v>
      </c>
      <c r="J2" s="19">
        <v>54</v>
      </c>
    </row>
    <row r="3" spans="1:10" x14ac:dyDescent="0.3">
      <c r="A3" s="19">
        <v>34</v>
      </c>
      <c r="B3" s="19">
        <v>1.5249999999999999</v>
      </c>
      <c r="C3" s="19">
        <v>0.05</v>
      </c>
      <c r="D3" s="19">
        <f t="shared" ref="D3:D6" si="0">C3*2</f>
        <v>0.1</v>
      </c>
      <c r="E3" s="19">
        <v>48.65</v>
      </c>
      <c r="F3" s="19">
        <v>0.42</v>
      </c>
      <c r="G3" s="19">
        <v>3.14</v>
      </c>
      <c r="H3" s="19">
        <v>85</v>
      </c>
      <c r="I3" s="19">
        <v>6.2384000000000002E-2</v>
      </c>
      <c r="J3" s="19">
        <v>87</v>
      </c>
    </row>
    <row r="4" spans="1:10" x14ac:dyDescent="0.3">
      <c r="A4" s="19">
        <v>36</v>
      </c>
      <c r="B4" s="19">
        <v>4.57</v>
      </c>
      <c r="C4" s="19">
        <v>0.05</v>
      </c>
      <c r="D4" s="19">
        <f t="shared" si="0"/>
        <v>0.1</v>
      </c>
      <c r="E4" s="19">
        <v>3.23</v>
      </c>
      <c r="F4" s="19">
        <v>0.1</v>
      </c>
      <c r="G4" s="19">
        <v>3.14</v>
      </c>
      <c r="H4" s="19">
        <v>198</v>
      </c>
      <c r="I4" s="19">
        <v>1.106E-3</v>
      </c>
      <c r="J4" s="19">
        <v>197</v>
      </c>
    </row>
    <row r="5" spans="1:10" x14ac:dyDescent="0.3">
      <c r="A5" s="19">
        <v>55</v>
      </c>
      <c r="B5" s="19">
        <v>3.7</v>
      </c>
      <c r="C5" s="19">
        <v>0.05</v>
      </c>
      <c r="D5" s="19">
        <f t="shared" si="0"/>
        <v>0.1</v>
      </c>
      <c r="E5" s="19">
        <v>123</v>
      </c>
      <c r="F5" s="19">
        <v>1.6</v>
      </c>
      <c r="G5" s="19">
        <v>3.08</v>
      </c>
      <c r="H5" s="19">
        <v>200</v>
      </c>
      <c r="I5" s="19">
        <v>4.8830000000000002E-3</v>
      </c>
      <c r="J5" s="19">
        <v>199</v>
      </c>
    </row>
    <row r="6" spans="1:10" x14ac:dyDescent="0.3">
      <c r="A6" s="19">
        <v>56</v>
      </c>
      <c r="B6" s="19">
        <v>3</v>
      </c>
      <c r="C6" s="19">
        <v>0.05</v>
      </c>
      <c r="D6" s="19">
        <f t="shared" si="0"/>
        <v>0.1</v>
      </c>
      <c r="E6" s="19">
        <v>230</v>
      </c>
      <c r="F6" s="19">
        <v>0.6</v>
      </c>
      <c r="G6" s="19">
        <v>3.14</v>
      </c>
      <c r="H6" s="19">
        <v>500</v>
      </c>
      <c r="I6" s="19">
        <v>1.9501999999999999E-2</v>
      </c>
      <c r="J6" s="19">
        <v>502</v>
      </c>
    </row>
    <row r="10" spans="1:10" x14ac:dyDescent="0.3">
      <c r="A10" s="18" t="s">
        <v>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7916-CF3D-4A0A-9F65-766186053C2C}">
  <dimension ref="A1:K21"/>
  <sheetViews>
    <sheetView workbookViewId="0">
      <selection activeCell="K15" sqref="K15"/>
    </sheetView>
  </sheetViews>
  <sheetFormatPr defaultRowHeight="14.4" x14ac:dyDescent="0.3"/>
  <cols>
    <col min="9" max="9" width="12.88671875" customWidth="1"/>
  </cols>
  <sheetData>
    <row r="1" spans="1:11" s="14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</row>
    <row r="2" spans="1:11" x14ac:dyDescent="0.3">
      <c r="A2" s="19">
        <v>2</v>
      </c>
      <c r="B2" s="19">
        <v>1.524</v>
      </c>
      <c r="C2" s="19">
        <v>0.125</v>
      </c>
      <c r="D2" s="19">
        <f>C2*2</f>
        <v>0.25</v>
      </c>
      <c r="E2" s="19">
        <v>28</v>
      </c>
      <c r="F2" s="19">
        <v>7.1</v>
      </c>
      <c r="G2" s="19">
        <v>3.14</v>
      </c>
      <c r="H2" s="19">
        <v>228.6</v>
      </c>
      <c r="I2" s="19">
        <v>3.1500000000000001E-4</v>
      </c>
      <c r="J2" s="19">
        <v>220</v>
      </c>
    </row>
    <row r="3" spans="1:11" x14ac:dyDescent="0.3">
      <c r="A3" s="19">
        <v>4</v>
      </c>
      <c r="B3" s="19">
        <v>3.048</v>
      </c>
      <c r="C3" s="19">
        <v>0.125</v>
      </c>
      <c r="D3" s="19">
        <f t="shared" ref="D3:D21" si="0">C3*2</f>
        <v>0.25</v>
      </c>
      <c r="E3" s="19">
        <v>43.28</v>
      </c>
      <c r="F3" s="19">
        <v>12.6</v>
      </c>
      <c r="G3" s="19">
        <v>3.14</v>
      </c>
      <c r="H3" s="19">
        <v>213.36</v>
      </c>
      <c r="I3" s="19">
        <v>2.8400000000000002E-4</v>
      </c>
      <c r="J3" s="19">
        <v>211</v>
      </c>
    </row>
    <row r="4" spans="1:11" x14ac:dyDescent="0.3">
      <c r="A4" s="19">
        <v>7</v>
      </c>
      <c r="B4" s="19">
        <v>2.286</v>
      </c>
      <c r="C4" s="19">
        <v>0.125</v>
      </c>
      <c r="D4" s="19">
        <f t="shared" si="0"/>
        <v>0.25</v>
      </c>
      <c r="E4" s="19">
        <v>14.1</v>
      </c>
      <c r="F4" s="19">
        <v>3.7</v>
      </c>
      <c r="G4" s="19">
        <v>3.14</v>
      </c>
      <c r="H4" s="19">
        <v>146.304</v>
      </c>
      <c r="I4" s="19">
        <v>4.9700000000000005E-4</v>
      </c>
      <c r="J4" s="19">
        <v>145</v>
      </c>
    </row>
    <row r="5" spans="1:11" x14ac:dyDescent="0.3">
      <c r="A5" s="19">
        <v>8</v>
      </c>
      <c r="B5" s="19">
        <v>1.524</v>
      </c>
      <c r="C5" s="19">
        <v>0.125</v>
      </c>
      <c r="D5" s="19">
        <f t="shared" si="0"/>
        <v>0.25</v>
      </c>
      <c r="E5" s="19">
        <v>29.64</v>
      </c>
      <c r="F5" s="19">
        <v>2.4</v>
      </c>
      <c r="G5" s="19">
        <v>3.14</v>
      </c>
      <c r="H5" s="19">
        <v>76.2</v>
      </c>
      <c r="I5" s="19">
        <v>7.8069999999999997E-3</v>
      </c>
      <c r="J5" s="19">
        <v>68</v>
      </c>
    </row>
    <row r="6" spans="1:11" x14ac:dyDescent="0.3">
      <c r="A6" s="19">
        <v>10</v>
      </c>
      <c r="B6" s="19">
        <v>5.3339999999999996</v>
      </c>
      <c r="C6" s="19">
        <v>0.125</v>
      </c>
      <c r="D6" s="19">
        <f t="shared" si="0"/>
        <v>0.25</v>
      </c>
      <c r="E6" s="19">
        <v>18.27</v>
      </c>
      <c r="F6" s="19">
        <v>1.9</v>
      </c>
      <c r="G6" s="19">
        <v>3.14</v>
      </c>
      <c r="H6" s="19">
        <v>350.52</v>
      </c>
      <c r="I6" s="19">
        <v>4.9700000000000005E-4</v>
      </c>
      <c r="J6" s="19">
        <v>350</v>
      </c>
    </row>
    <row r="7" spans="1:11" x14ac:dyDescent="0.3">
      <c r="A7" s="19">
        <v>17</v>
      </c>
      <c r="B7" s="19">
        <v>2.286</v>
      </c>
      <c r="C7" s="19">
        <v>0.125</v>
      </c>
      <c r="D7" s="19">
        <f t="shared" si="0"/>
        <v>0.25</v>
      </c>
      <c r="E7" s="19">
        <v>84.9</v>
      </c>
      <c r="F7" s="19">
        <v>8.1999999999999993</v>
      </c>
      <c r="G7" s="19">
        <v>3.14</v>
      </c>
      <c r="H7" s="19">
        <v>128.01599999999999</v>
      </c>
      <c r="I7" s="19">
        <v>1.9589999999999998E-3</v>
      </c>
      <c r="J7" s="19">
        <v>138</v>
      </c>
    </row>
    <row r="8" spans="1:11" x14ac:dyDescent="0.3">
      <c r="A8" s="19">
        <v>18</v>
      </c>
      <c r="B8" s="19">
        <v>3.81</v>
      </c>
      <c r="C8" s="19">
        <v>0.125</v>
      </c>
      <c r="D8" s="19">
        <f t="shared" si="0"/>
        <v>0.25</v>
      </c>
      <c r="E8" s="19">
        <v>22.9</v>
      </c>
      <c r="F8" s="19">
        <v>8.3000000000000007</v>
      </c>
      <c r="G8" s="19">
        <v>3.14</v>
      </c>
      <c r="H8" s="19">
        <v>914.4</v>
      </c>
      <c r="I8" s="19">
        <v>4.1999999999999998E-5</v>
      </c>
      <c r="J8" s="19">
        <v>913</v>
      </c>
    </row>
    <row r="9" spans="1:11" x14ac:dyDescent="0.3">
      <c r="A9" s="19">
        <v>19</v>
      </c>
      <c r="B9" s="19">
        <v>4.5720000000000001</v>
      </c>
      <c r="C9" s="19">
        <v>0.125</v>
      </c>
      <c r="D9" s="19">
        <f t="shared" si="0"/>
        <v>0.25</v>
      </c>
      <c r="E9" s="19">
        <v>49.3</v>
      </c>
      <c r="F9" s="19">
        <v>7.5</v>
      </c>
      <c r="G9" s="19">
        <v>3.14</v>
      </c>
      <c r="H9" s="19">
        <v>192.024</v>
      </c>
      <c r="I9" s="19">
        <v>6.1899999999999998E-4</v>
      </c>
      <c r="J9" s="19">
        <v>191</v>
      </c>
    </row>
    <row r="10" spans="1:11" x14ac:dyDescent="0.3">
      <c r="A10" s="19">
        <v>20</v>
      </c>
      <c r="B10" s="19">
        <v>1.524</v>
      </c>
      <c r="C10" s="19">
        <v>0.125</v>
      </c>
      <c r="D10" s="19">
        <f t="shared" si="0"/>
        <v>0.25</v>
      </c>
      <c r="E10" s="19">
        <v>90.21</v>
      </c>
      <c r="F10" s="19">
        <v>6.8</v>
      </c>
      <c r="G10" s="19">
        <v>3.14</v>
      </c>
      <c r="H10" s="19">
        <v>60.96</v>
      </c>
      <c r="I10" s="19">
        <v>1.1705E-2</v>
      </c>
      <c r="J10" s="19">
        <v>57</v>
      </c>
    </row>
    <row r="11" spans="1:11" x14ac:dyDescent="0.3">
      <c r="A11" s="19">
        <v>24</v>
      </c>
      <c r="B11" s="19">
        <v>3.048</v>
      </c>
      <c r="C11" s="19">
        <v>0.125</v>
      </c>
      <c r="D11" s="19">
        <f t="shared" si="0"/>
        <v>0.25</v>
      </c>
      <c r="E11" s="19">
        <v>67</v>
      </c>
      <c r="F11" s="19">
        <v>3.7</v>
      </c>
      <c r="G11" s="19">
        <v>3.14</v>
      </c>
      <c r="H11" s="19">
        <v>207.26400000000001</v>
      </c>
      <c r="I11" s="19">
        <v>2.4459999999999998E-3</v>
      </c>
      <c r="J11" s="19">
        <v>206</v>
      </c>
    </row>
    <row r="12" spans="1:11" x14ac:dyDescent="0.3">
      <c r="A12" s="19">
        <v>26</v>
      </c>
      <c r="B12" s="19">
        <v>4.2671999999999999</v>
      </c>
      <c r="C12" s="19">
        <v>0.125</v>
      </c>
      <c r="D12" s="19">
        <f t="shared" si="0"/>
        <v>0.25</v>
      </c>
      <c r="E12" s="19">
        <v>25.4</v>
      </c>
      <c r="F12" s="19">
        <v>5.5</v>
      </c>
      <c r="G12" s="19">
        <v>3.14</v>
      </c>
      <c r="H12" s="19">
        <v>71.3232</v>
      </c>
      <c r="I12" s="19">
        <v>1.472E-3</v>
      </c>
      <c r="J12" s="19">
        <v>72</v>
      </c>
    </row>
    <row r="13" spans="1:11" x14ac:dyDescent="0.3">
      <c r="A13" s="19">
        <v>31</v>
      </c>
      <c r="B13" s="19">
        <v>4.57</v>
      </c>
      <c r="C13" s="19">
        <v>0.125</v>
      </c>
      <c r="D13" s="19">
        <f t="shared" si="0"/>
        <v>0.25</v>
      </c>
      <c r="E13" s="19">
        <v>9.23</v>
      </c>
      <c r="F13" s="19">
        <v>2.8</v>
      </c>
      <c r="G13" s="19">
        <v>3.14</v>
      </c>
      <c r="H13" s="19">
        <v>366</v>
      </c>
      <c r="I13" s="19">
        <v>1.47E-4</v>
      </c>
      <c r="J13" s="19">
        <v>360</v>
      </c>
    </row>
    <row r="14" spans="1:11" x14ac:dyDescent="0.3">
      <c r="A14" s="19">
        <v>32</v>
      </c>
      <c r="B14" s="19">
        <v>3.05</v>
      </c>
      <c r="C14" s="19">
        <v>0.125</v>
      </c>
      <c r="D14" s="19">
        <f t="shared" si="0"/>
        <v>0.25</v>
      </c>
      <c r="E14" s="19">
        <v>2.84</v>
      </c>
      <c r="F14" s="19">
        <v>0.6</v>
      </c>
      <c r="G14" s="19">
        <v>3.14</v>
      </c>
      <c r="H14" s="19">
        <v>168</v>
      </c>
      <c r="I14" s="19">
        <v>4.9700000000000005E-4</v>
      </c>
      <c r="J14" s="19">
        <v>175</v>
      </c>
    </row>
    <row r="15" spans="1:11" x14ac:dyDescent="0.3">
      <c r="A15" s="19">
        <v>34</v>
      </c>
      <c r="B15" s="19">
        <v>1.5249999999999999</v>
      </c>
      <c r="C15" s="19">
        <v>0.125</v>
      </c>
      <c r="D15" s="19">
        <f t="shared" si="0"/>
        <v>0.25</v>
      </c>
      <c r="E15" s="19">
        <v>48.65</v>
      </c>
      <c r="F15" s="19">
        <v>0.42</v>
      </c>
      <c r="G15" s="19">
        <v>3.14</v>
      </c>
      <c r="H15" s="19">
        <v>85</v>
      </c>
      <c r="I15" s="19">
        <v>0.49900499999999998</v>
      </c>
      <c r="J15" s="19">
        <v>85</v>
      </c>
      <c r="K15" s="13" t="s">
        <v>64</v>
      </c>
    </row>
    <row r="16" spans="1:11" x14ac:dyDescent="0.3">
      <c r="A16" s="19">
        <v>35</v>
      </c>
      <c r="B16" s="19">
        <v>5.335</v>
      </c>
      <c r="C16" s="19">
        <v>0.125</v>
      </c>
      <c r="D16" s="19">
        <f t="shared" si="0"/>
        <v>0.25</v>
      </c>
      <c r="E16" s="19">
        <v>18.27</v>
      </c>
      <c r="F16" s="19">
        <v>1.9</v>
      </c>
      <c r="G16" s="19">
        <v>3.14</v>
      </c>
      <c r="H16" s="19">
        <v>229</v>
      </c>
      <c r="I16" s="19">
        <v>8.6300000000000005E-4</v>
      </c>
      <c r="J16" s="19">
        <v>231</v>
      </c>
    </row>
    <row r="17" spans="1:10" x14ac:dyDescent="0.3">
      <c r="A17" s="19">
        <v>36</v>
      </c>
      <c r="B17" s="19">
        <v>4.57</v>
      </c>
      <c r="C17" s="19">
        <v>0.125</v>
      </c>
      <c r="D17" s="19">
        <f t="shared" si="0"/>
        <v>0.25</v>
      </c>
      <c r="E17" s="19">
        <v>3.23</v>
      </c>
      <c r="F17" s="19">
        <v>0.1</v>
      </c>
      <c r="G17" s="19">
        <v>3.14</v>
      </c>
      <c r="H17" s="19">
        <v>198</v>
      </c>
      <c r="I17" s="19">
        <v>6.8320000000000004E-3</v>
      </c>
      <c r="J17" s="19">
        <v>190</v>
      </c>
    </row>
    <row r="18" spans="1:10" x14ac:dyDescent="0.3">
      <c r="A18" s="19">
        <v>40</v>
      </c>
      <c r="B18" s="19">
        <v>8.3800000000000008</v>
      </c>
      <c r="C18" s="19">
        <v>0.125</v>
      </c>
      <c r="D18" s="19">
        <f t="shared" si="0"/>
        <v>0.25</v>
      </c>
      <c r="E18" s="19">
        <v>32.56</v>
      </c>
      <c r="F18" s="19">
        <v>9.82</v>
      </c>
      <c r="G18" s="19">
        <v>3.14</v>
      </c>
      <c r="H18" s="19">
        <v>244</v>
      </c>
      <c r="I18" s="19">
        <v>2.23E-4</v>
      </c>
      <c r="J18" s="19">
        <v>251</v>
      </c>
    </row>
    <row r="19" spans="1:10" x14ac:dyDescent="0.3">
      <c r="A19" s="19">
        <v>54</v>
      </c>
      <c r="B19" s="19">
        <v>5.5</v>
      </c>
      <c r="C19" s="19">
        <v>0.125</v>
      </c>
      <c r="D19" s="19">
        <f t="shared" si="0"/>
        <v>0.25</v>
      </c>
      <c r="E19" s="19">
        <v>33</v>
      </c>
      <c r="F19" s="19">
        <v>7.5</v>
      </c>
      <c r="G19" s="19">
        <v>3.14</v>
      </c>
      <c r="H19" s="19">
        <v>250</v>
      </c>
      <c r="I19" s="19">
        <v>3.1500000000000001E-4</v>
      </c>
      <c r="J19" s="19">
        <v>243</v>
      </c>
    </row>
    <row r="20" spans="1:10" x14ac:dyDescent="0.3">
      <c r="A20" s="19">
        <v>55</v>
      </c>
      <c r="B20" s="19">
        <v>3.7</v>
      </c>
      <c r="C20" s="19">
        <v>0.125</v>
      </c>
      <c r="D20" s="19">
        <f t="shared" si="0"/>
        <v>0.25</v>
      </c>
      <c r="E20" s="19">
        <v>123</v>
      </c>
      <c r="F20" s="19">
        <v>1.6</v>
      </c>
      <c r="G20" s="19">
        <v>3.14</v>
      </c>
      <c r="H20" s="19">
        <v>200</v>
      </c>
      <c r="I20" s="19">
        <v>3.1196999999999999E-2</v>
      </c>
      <c r="J20" s="19">
        <v>196</v>
      </c>
    </row>
    <row r="21" spans="1:10" x14ac:dyDescent="0.3">
      <c r="A21" s="19">
        <v>61</v>
      </c>
      <c r="B21" s="19">
        <v>1.5</v>
      </c>
      <c r="C21" s="19">
        <v>0.125</v>
      </c>
      <c r="D21" s="19">
        <f t="shared" si="0"/>
        <v>0.25</v>
      </c>
      <c r="E21" s="19">
        <v>8.9</v>
      </c>
      <c r="F21" s="19">
        <v>0.99</v>
      </c>
      <c r="G21" s="19">
        <v>3.14</v>
      </c>
      <c r="H21" s="19">
        <v>250</v>
      </c>
      <c r="I21" s="19">
        <v>6.8000000000000005E-4</v>
      </c>
      <c r="J21" s="19">
        <v>254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AB93-5AE1-4DF9-9817-00026F3206A4}">
  <dimension ref="A1:K17"/>
  <sheetViews>
    <sheetView workbookViewId="0">
      <selection activeCell="K16" sqref="K16"/>
    </sheetView>
  </sheetViews>
  <sheetFormatPr defaultRowHeight="14.4" x14ac:dyDescent="0.3"/>
  <cols>
    <col min="9" max="9" width="12.109375" customWidth="1"/>
  </cols>
  <sheetData>
    <row r="1" spans="1:11" s="14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</row>
    <row r="2" spans="1:11" x14ac:dyDescent="0.3">
      <c r="A2" s="19">
        <v>7</v>
      </c>
      <c r="B2" s="19">
        <v>2.286</v>
      </c>
      <c r="C2" s="19">
        <v>0.25</v>
      </c>
      <c r="D2" s="19">
        <f>C2*2</f>
        <v>0.5</v>
      </c>
      <c r="E2" s="19">
        <v>14.1</v>
      </c>
      <c r="F2" s="19">
        <v>3.7</v>
      </c>
      <c r="G2" s="19">
        <v>3.14</v>
      </c>
      <c r="H2" s="19">
        <v>146.304</v>
      </c>
      <c r="I2" s="19">
        <v>2.0100000000000001E-3</v>
      </c>
      <c r="J2" s="19">
        <v>141</v>
      </c>
    </row>
    <row r="3" spans="1:11" x14ac:dyDescent="0.3">
      <c r="A3" s="19">
        <v>8</v>
      </c>
      <c r="B3" s="19">
        <v>1.524</v>
      </c>
      <c r="C3" s="19">
        <v>0.25</v>
      </c>
      <c r="D3" s="19">
        <f t="shared" ref="D3:D17" si="0">C3*2</f>
        <v>0.5</v>
      </c>
      <c r="E3" s="19">
        <v>29.64</v>
      </c>
      <c r="F3" s="19">
        <v>2.4</v>
      </c>
      <c r="G3" s="19">
        <v>3.14</v>
      </c>
      <c r="H3" s="19">
        <v>76.2</v>
      </c>
      <c r="I3" s="19">
        <v>3.3134999999999998E-2</v>
      </c>
      <c r="J3" s="19">
        <v>67</v>
      </c>
    </row>
    <row r="4" spans="1:11" x14ac:dyDescent="0.3">
      <c r="A4" s="19">
        <v>10</v>
      </c>
      <c r="B4" s="19">
        <v>5.3339999999999996</v>
      </c>
      <c r="C4" s="19">
        <v>0.25</v>
      </c>
      <c r="D4" s="19">
        <f t="shared" si="0"/>
        <v>0.5</v>
      </c>
      <c r="E4" s="19">
        <v>18.27</v>
      </c>
      <c r="F4" s="19">
        <v>1.9</v>
      </c>
      <c r="G4" s="19">
        <v>3.14</v>
      </c>
      <c r="H4" s="19">
        <v>350.52</v>
      </c>
      <c r="I4" s="19">
        <v>2.0100000000000001E-3</v>
      </c>
      <c r="J4" s="19">
        <v>348</v>
      </c>
    </row>
    <row r="5" spans="1:11" x14ac:dyDescent="0.3">
      <c r="A5" s="19">
        <v>16</v>
      </c>
      <c r="B5" s="19">
        <v>3.048</v>
      </c>
      <c r="C5" s="19">
        <v>0.25</v>
      </c>
      <c r="D5" s="19">
        <f t="shared" si="0"/>
        <v>0.5</v>
      </c>
      <c r="E5" s="19">
        <v>13.118</v>
      </c>
      <c r="F5" s="19">
        <v>9.3000000000000007</v>
      </c>
      <c r="G5" s="19">
        <v>3.14</v>
      </c>
      <c r="H5" s="19">
        <v>53.34</v>
      </c>
      <c r="I5" s="19">
        <v>2.0100000000000001E-3</v>
      </c>
      <c r="J5" s="19">
        <v>51</v>
      </c>
    </row>
    <row r="6" spans="1:11" x14ac:dyDescent="0.3">
      <c r="A6" s="19">
        <v>17</v>
      </c>
      <c r="B6" s="19">
        <v>2.286</v>
      </c>
      <c r="C6" s="19">
        <v>0.25</v>
      </c>
      <c r="D6" s="19">
        <f t="shared" si="0"/>
        <v>0.5</v>
      </c>
      <c r="E6" s="19">
        <v>84.9</v>
      </c>
      <c r="F6" s="19">
        <v>8.1999999999999993</v>
      </c>
      <c r="G6" s="19">
        <v>3.14</v>
      </c>
      <c r="H6" s="19">
        <v>128.01599999999999</v>
      </c>
      <c r="I6" s="19">
        <v>7.8460000000000005E-3</v>
      </c>
      <c r="J6" s="19">
        <v>137</v>
      </c>
    </row>
    <row r="7" spans="1:11" x14ac:dyDescent="0.3">
      <c r="A7" s="19">
        <v>19</v>
      </c>
      <c r="B7" s="19">
        <v>4.5720000000000001</v>
      </c>
      <c r="C7" s="19">
        <v>0.25</v>
      </c>
      <c r="D7" s="19">
        <f t="shared" si="0"/>
        <v>0.5</v>
      </c>
      <c r="E7" s="19">
        <v>49.3</v>
      </c>
      <c r="F7" s="19">
        <v>7.5</v>
      </c>
      <c r="G7" s="19">
        <v>3.14</v>
      </c>
      <c r="H7" s="19">
        <v>192.024</v>
      </c>
      <c r="I7" s="19">
        <v>2.7390000000000001E-3</v>
      </c>
      <c r="J7" s="19">
        <v>189</v>
      </c>
    </row>
    <row r="8" spans="1:11" x14ac:dyDescent="0.3">
      <c r="A8" s="19">
        <v>20</v>
      </c>
      <c r="B8" s="19">
        <v>1.524</v>
      </c>
      <c r="C8" s="19">
        <v>0.25</v>
      </c>
      <c r="D8" s="19">
        <f t="shared" si="0"/>
        <v>0.5</v>
      </c>
      <c r="E8" s="19">
        <v>90.21</v>
      </c>
      <c r="F8" s="19">
        <v>6.8</v>
      </c>
      <c r="G8" s="19">
        <v>3.14</v>
      </c>
      <c r="H8" s="19">
        <v>60.96</v>
      </c>
      <c r="I8" s="19">
        <v>6.4258999999999997E-2</v>
      </c>
      <c r="J8" s="19">
        <v>51</v>
      </c>
    </row>
    <row r="9" spans="1:11" x14ac:dyDescent="0.3">
      <c r="A9" s="19">
        <v>24</v>
      </c>
      <c r="B9" s="19">
        <v>3.048</v>
      </c>
      <c r="C9" s="19">
        <v>0.25</v>
      </c>
      <c r="D9" s="19">
        <f t="shared" si="0"/>
        <v>0.5</v>
      </c>
      <c r="E9" s="19">
        <v>67</v>
      </c>
      <c r="F9" s="19">
        <v>3.7</v>
      </c>
      <c r="G9" s="19">
        <v>3.14</v>
      </c>
      <c r="H9" s="19">
        <v>207.26400000000001</v>
      </c>
      <c r="I9" s="19">
        <v>9.7909999999999994E-3</v>
      </c>
      <c r="J9" s="19">
        <v>206</v>
      </c>
    </row>
    <row r="10" spans="1:11" x14ac:dyDescent="0.3">
      <c r="A10" s="19">
        <v>26</v>
      </c>
      <c r="B10" s="19">
        <v>4.2671999999999999</v>
      </c>
      <c r="C10" s="19">
        <v>0.25</v>
      </c>
      <c r="D10" s="19">
        <f t="shared" si="0"/>
        <v>0.5</v>
      </c>
      <c r="E10" s="19">
        <v>25.4</v>
      </c>
      <c r="F10" s="19">
        <v>5.5</v>
      </c>
      <c r="G10" s="19">
        <v>3.14</v>
      </c>
      <c r="H10" s="19">
        <v>71.3232</v>
      </c>
      <c r="I10" s="19">
        <v>5.901E-3</v>
      </c>
      <c r="J10" s="19">
        <v>74</v>
      </c>
    </row>
    <row r="11" spans="1:11" x14ac:dyDescent="0.3">
      <c r="A11" s="19">
        <v>32</v>
      </c>
      <c r="B11" s="19">
        <v>3.05</v>
      </c>
      <c r="C11" s="19">
        <v>0.25</v>
      </c>
      <c r="D11" s="19">
        <f t="shared" si="0"/>
        <v>0.5</v>
      </c>
      <c r="E11" s="19">
        <v>2.84</v>
      </c>
      <c r="F11" s="19">
        <v>0.6</v>
      </c>
      <c r="G11" s="19">
        <v>3.14</v>
      </c>
      <c r="H11" s="19">
        <v>168</v>
      </c>
      <c r="I11" s="19">
        <v>2.0100000000000001E-3</v>
      </c>
      <c r="J11" s="19">
        <v>171</v>
      </c>
    </row>
    <row r="12" spans="1:11" x14ac:dyDescent="0.3">
      <c r="A12" s="19">
        <v>35</v>
      </c>
      <c r="B12" s="19">
        <v>5.335</v>
      </c>
      <c r="C12" s="19">
        <v>0.25</v>
      </c>
      <c r="D12" s="19">
        <f t="shared" si="0"/>
        <v>0.5</v>
      </c>
      <c r="E12" s="19">
        <v>18.27</v>
      </c>
      <c r="F12" s="19">
        <v>1.9</v>
      </c>
      <c r="G12" s="19">
        <v>3.14</v>
      </c>
      <c r="H12" s="19">
        <v>229</v>
      </c>
      <c r="I12" s="19">
        <v>3.4689999999999999E-3</v>
      </c>
      <c r="J12" s="19">
        <v>226</v>
      </c>
    </row>
    <row r="13" spans="1:11" x14ac:dyDescent="0.3">
      <c r="A13" s="19">
        <v>36</v>
      </c>
      <c r="B13" s="19">
        <v>4.57</v>
      </c>
      <c r="C13" s="19">
        <v>0.25</v>
      </c>
      <c r="D13" s="19">
        <f t="shared" si="0"/>
        <v>0.5</v>
      </c>
      <c r="E13" s="19">
        <v>3.23</v>
      </c>
      <c r="F13" s="19">
        <v>0.1</v>
      </c>
      <c r="G13" s="19">
        <v>3.14</v>
      </c>
      <c r="H13" s="19">
        <v>198</v>
      </c>
      <c r="I13" s="19">
        <v>2.5353000000000001E-2</v>
      </c>
      <c r="J13" s="19">
        <v>205</v>
      </c>
    </row>
    <row r="14" spans="1:11" x14ac:dyDescent="0.3">
      <c r="A14" s="19">
        <v>39</v>
      </c>
      <c r="B14" s="19">
        <v>1.22</v>
      </c>
      <c r="C14" s="19">
        <v>0.25</v>
      </c>
      <c r="D14" s="19">
        <f t="shared" si="0"/>
        <v>0.5</v>
      </c>
      <c r="E14" s="19">
        <v>13.8</v>
      </c>
      <c r="F14" s="19">
        <v>7.6</v>
      </c>
      <c r="G14" s="19">
        <v>3.14</v>
      </c>
      <c r="H14" s="19">
        <v>64</v>
      </c>
      <c r="I14" s="19">
        <v>2.0100000000000001E-3</v>
      </c>
      <c r="J14" s="19">
        <v>62</v>
      </c>
    </row>
    <row r="15" spans="1:11" x14ac:dyDescent="0.3">
      <c r="A15" s="19">
        <v>55</v>
      </c>
      <c r="B15" s="19">
        <v>3.7</v>
      </c>
      <c r="C15" s="19">
        <v>0.25</v>
      </c>
      <c r="D15" s="19">
        <f t="shared" si="0"/>
        <v>0.5</v>
      </c>
      <c r="E15" s="19">
        <v>123</v>
      </c>
      <c r="F15" s="19">
        <v>1.6</v>
      </c>
      <c r="G15" s="19">
        <v>3.08</v>
      </c>
      <c r="H15" s="19">
        <v>200</v>
      </c>
      <c r="I15" s="19">
        <v>0.12650900000000001</v>
      </c>
      <c r="J15" s="19">
        <v>209</v>
      </c>
      <c r="K15" s="13" t="s">
        <v>64</v>
      </c>
    </row>
    <row r="16" spans="1:11" x14ac:dyDescent="0.3">
      <c r="A16" s="19">
        <v>56</v>
      </c>
      <c r="B16" s="19">
        <v>3</v>
      </c>
      <c r="C16" s="19">
        <v>0.25</v>
      </c>
      <c r="D16" s="19">
        <f t="shared" si="0"/>
        <v>0.5</v>
      </c>
      <c r="E16" s="19">
        <v>230</v>
      </c>
      <c r="F16" s="19">
        <v>0.6</v>
      </c>
      <c r="G16" s="19">
        <v>3.14</v>
      </c>
      <c r="H16" s="19">
        <v>500</v>
      </c>
      <c r="I16" s="19">
        <v>0.26656999999999997</v>
      </c>
      <c r="J16" s="19">
        <v>502</v>
      </c>
      <c r="K16" s="13" t="s">
        <v>64</v>
      </c>
    </row>
    <row r="17" spans="1:10" x14ac:dyDescent="0.3">
      <c r="A17" s="19">
        <v>61</v>
      </c>
      <c r="B17" s="19">
        <v>1.5</v>
      </c>
      <c r="C17" s="19">
        <v>0.25</v>
      </c>
      <c r="D17" s="19">
        <f t="shared" si="0"/>
        <v>0.5</v>
      </c>
      <c r="E17" s="19">
        <v>8.9</v>
      </c>
      <c r="F17" s="19">
        <v>0.99</v>
      </c>
      <c r="G17" s="19">
        <v>3.14</v>
      </c>
      <c r="H17" s="19">
        <v>250</v>
      </c>
      <c r="I17" s="19">
        <v>2.7390000000000001E-3</v>
      </c>
      <c r="J17" s="19">
        <v>255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CBC7-20CC-4A8D-8B81-49D8630B8B5D}">
  <dimension ref="A1:K27"/>
  <sheetViews>
    <sheetView workbookViewId="0">
      <selection activeCell="K26" sqref="K26"/>
    </sheetView>
  </sheetViews>
  <sheetFormatPr defaultRowHeight="14.4" x14ac:dyDescent="0.3"/>
  <cols>
    <col min="9" max="9" width="14.5546875" customWidth="1"/>
  </cols>
  <sheetData>
    <row r="1" spans="1:11" s="14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</row>
    <row r="2" spans="1:11" x14ac:dyDescent="0.3">
      <c r="A2" s="19">
        <v>2</v>
      </c>
      <c r="B2" s="19">
        <v>1.524</v>
      </c>
      <c r="C2" s="19">
        <v>0.375</v>
      </c>
      <c r="D2" s="19">
        <f>C2*2</f>
        <v>0.75</v>
      </c>
      <c r="E2" s="19">
        <v>28</v>
      </c>
      <c r="F2" s="19">
        <v>7.1</v>
      </c>
      <c r="G2" s="19">
        <v>3.14</v>
      </c>
      <c r="H2" s="19">
        <v>228.6</v>
      </c>
      <c r="I2" s="19">
        <v>2.7390000000000001E-3</v>
      </c>
      <c r="J2" s="19">
        <v>221</v>
      </c>
    </row>
    <row r="3" spans="1:11" x14ac:dyDescent="0.3">
      <c r="A3" s="19">
        <v>4</v>
      </c>
      <c r="B3" s="19">
        <v>3.048</v>
      </c>
      <c r="C3" s="19">
        <v>0.375</v>
      </c>
      <c r="D3" s="19">
        <f t="shared" ref="D3:D27" si="0">C3*2</f>
        <v>0.75</v>
      </c>
      <c r="E3" s="19">
        <v>43.28</v>
      </c>
      <c r="F3" s="19">
        <v>12.6</v>
      </c>
      <c r="G3" s="19">
        <v>3.14</v>
      </c>
      <c r="H3" s="19">
        <v>213.36</v>
      </c>
      <c r="I3" s="19">
        <v>2.496E-3</v>
      </c>
      <c r="J3" s="19">
        <v>209</v>
      </c>
    </row>
    <row r="4" spans="1:11" x14ac:dyDescent="0.3">
      <c r="A4" s="19">
        <v>7</v>
      </c>
      <c r="B4" s="19">
        <v>2.286</v>
      </c>
      <c r="C4" s="19">
        <v>0.375</v>
      </c>
      <c r="D4" s="19">
        <f t="shared" si="0"/>
        <v>0.75</v>
      </c>
      <c r="E4" s="19">
        <v>14.1</v>
      </c>
      <c r="F4" s="19">
        <v>3.7</v>
      </c>
      <c r="G4" s="19">
        <v>3.14</v>
      </c>
      <c r="H4" s="19">
        <v>146.304</v>
      </c>
      <c r="I4" s="19">
        <v>4.4419999999999998E-3</v>
      </c>
      <c r="J4" s="19">
        <v>143</v>
      </c>
    </row>
    <row r="5" spans="1:11" x14ac:dyDescent="0.3">
      <c r="A5" s="19">
        <v>8</v>
      </c>
      <c r="B5" s="19">
        <v>1.524</v>
      </c>
      <c r="C5" s="19">
        <v>0.375</v>
      </c>
      <c r="D5" s="19">
        <f t="shared" si="0"/>
        <v>0.75</v>
      </c>
      <c r="E5" s="19">
        <v>29.64</v>
      </c>
      <c r="F5" s="19">
        <v>2.4</v>
      </c>
      <c r="G5" s="19">
        <v>3.14</v>
      </c>
      <c r="H5" s="19">
        <v>76.2</v>
      </c>
      <c r="I5" s="19">
        <v>6.4258999999999997E-2</v>
      </c>
      <c r="J5" s="19">
        <v>76</v>
      </c>
    </row>
    <row r="6" spans="1:11" x14ac:dyDescent="0.3">
      <c r="A6" s="19">
        <v>10</v>
      </c>
      <c r="B6" s="19">
        <v>5.3339999999999996</v>
      </c>
      <c r="C6" s="19">
        <v>0.375</v>
      </c>
      <c r="D6" s="19">
        <f t="shared" si="0"/>
        <v>0.75</v>
      </c>
      <c r="E6" s="19">
        <v>18.27</v>
      </c>
      <c r="F6" s="19">
        <v>1.9</v>
      </c>
      <c r="G6" s="19">
        <v>3.14</v>
      </c>
      <c r="H6" s="19">
        <v>350.52</v>
      </c>
      <c r="I6" s="19">
        <v>4.4419999999999998E-3</v>
      </c>
      <c r="J6" s="19">
        <v>358</v>
      </c>
    </row>
    <row r="7" spans="1:11" x14ac:dyDescent="0.3">
      <c r="A7" s="19">
        <v>13</v>
      </c>
      <c r="B7" s="19">
        <v>1.524</v>
      </c>
      <c r="C7" s="19">
        <v>0.375</v>
      </c>
      <c r="D7" s="19">
        <f t="shared" si="0"/>
        <v>0.75</v>
      </c>
      <c r="E7" s="19">
        <v>12.84</v>
      </c>
      <c r="F7" s="19">
        <v>6.5</v>
      </c>
      <c r="G7" s="19">
        <v>3.14</v>
      </c>
      <c r="H7" s="19">
        <v>109.72799999999999</v>
      </c>
      <c r="I7" s="19">
        <v>2.983E-3</v>
      </c>
      <c r="J7" s="19">
        <v>104</v>
      </c>
    </row>
    <row r="8" spans="1:11" x14ac:dyDescent="0.3">
      <c r="A8" s="19">
        <v>15</v>
      </c>
      <c r="B8" s="19">
        <v>1.524</v>
      </c>
      <c r="C8" s="19">
        <v>0.375</v>
      </c>
      <c r="D8" s="19">
        <f t="shared" si="0"/>
        <v>0.75</v>
      </c>
      <c r="E8" s="19">
        <v>13.8</v>
      </c>
      <c r="F8" s="19">
        <v>9</v>
      </c>
      <c r="G8" s="19">
        <v>3.14</v>
      </c>
      <c r="H8" s="19">
        <v>96.012</v>
      </c>
      <c r="I8" s="19">
        <v>2.496E-3</v>
      </c>
      <c r="J8" s="19">
        <v>97</v>
      </c>
    </row>
    <row r="9" spans="1:11" x14ac:dyDescent="0.3">
      <c r="A9" s="19">
        <v>16</v>
      </c>
      <c r="B9" s="19">
        <v>3.048</v>
      </c>
      <c r="C9" s="19">
        <v>0.375</v>
      </c>
      <c r="D9" s="19">
        <f t="shared" si="0"/>
        <v>0.75</v>
      </c>
      <c r="E9" s="19">
        <v>13.118</v>
      </c>
      <c r="F9" s="19">
        <v>9.3000000000000007</v>
      </c>
      <c r="G9" s="19">
        <v>3.14</v>
      </c>
      <c r="H9" s="19">
        <v>53.34</v>
      </c>
      <c r="I9" s="19">
        <v>5.901E-3</v>
      </c>
      <c r="J9" s="19">
        <v>44</v>
      </c>
    </row>
    <row r="10" spans="1:11" x14ac:dyDescent="0.3">
      <c r="A10" s="19">
        <v>17</v>
      </c>
      <c r="B10" s="19">
        <v>2.286</v>
      </c>
      <c r="C10" s="19">
        <v>0.375</v>
      </c>
      <c r="D10" s="19">
        <f t="shared" si="0"/>
        <v>0.75</v>
      </c>
      <c r="E10" s="19">
        <v>84.9</v>
      </c>
      <c r="F10" s="19">
        <v>8.1999999999999993</v>
      </c>
      <c r="G10" s="19">
        <v>3.14</v>
      </c>
      <c r="H10" s="19">
        <v>128.01599999999999</v>
      </c>
      <c r="I10" s="19">
        <v>2.1462999999999999E-2</v>
      </c>
      <c r="J10" s="19">
        <v>122</v>
      </c>
    </row>
    <row r="11" spans="1:11" x14ac:dyDescent="0.3">
      <c r="A11" s="19">
        <v>19</v>
      </c>
      <c r="B11" s="19">
        <v>4.5720000000000001</v>
      </c>
      <c r="C11" s="19">
        <v>0.375</v>
      </c>
      <c r="D11" s="19">
        <f t="shared" si="0"/>
        <v>0.75</v>
      </c>
      <c r="E11" s="19">
        <v>49.3</v>
      </c>
      <c r="F11" s="19">
        <v>7.5</v>
      </c>
      <c r="G11" s="19">
        <v>3.14</v>
      </c>
      <c r="H11" s="19">
        <v>192.024</v>
      </c>
      <c r="I11" s="19">
        <v>5.901E-3</v>
      </c>
      <c r="J11" s="19">
        <v>195</v>
      </c>
    </row>
    <row r="12" spans="1:11" x14ac:dyDescent="0.3">
      <c r="A12" s="19">
        <v>20</v>
      </c>
      <c r="B12" s="19">
        <v>1.524</v>
      </c>
      <c r="C12" s="19">
        <v>0.375</v>
      </c>
      <c r="D12" s="19">
        <f t="shared" si="0"/>
        <v>0.75</v>
      </c>
      <c r="E12" s="19">
        <v>90.21</v>
      </c>
      <c r="F12" s="19">
        <v>6.8</v>
      </c>
      <c r="G12" s="19">
        <v>3.14</v>
      </c>
      <c r="H12" s="19">
        <v>60.96</v>
      </c>
      <c r="I12" s="19">
        <v>0.12650900000000001</v>
      </c>
      <c r="J12" s="19">
        <v>57</v>
      </c>
      <c r="K12" s="13" t="s">
        <v>64</v>
      </c>
    </row>
    <row r="13" spans="1:11" x14ac:dyDescent="0.3">
      <c r="A13" s="19">
        <v>22</v>
      </c>
      <c r="B13" s="19">
        <v>2.286</v>
      </c>
      <c r="C13" s="19">
        <v>0.375</v>
      </c>
      <c r="D13" s="19">
        <f t="shared" si="0"/>
        <v>0.75</v>
      </c>
      <c r="E13" s="19">
        <v>20.95</v>
      </c>
      <c r="F13" s="19">
        <v>8.52</v>
      </c>
      <c r="G13" s="19">
        <v>3.14</v>
      </c>
      <c r="H13" s="19">
        <v>106.68</v>
      </c>
      <c r="I13" s="19">
        <v>3.9550000000000002E-3</v>
      </c>
      <c r="J13" s="19">
        <v>101</v>
      </c>
    </row>
    <row r="14" spans="1:11" x14ac:dyDescent="0.3">
      <c r="A14" s="19">
        <v>24</v>
      </c>
      <c r="B14" s="19">
        <v>3.048</v>
      </c>
      <c r="C14" s="19">
        <v>0.375</v>
      </c>
      <c r="D14" s="19">
        <f t="shared" si="0"/>
        <v>0.75</v>
      </c>
      <c r="E14" s="19">
        <v>67</v>
      </c>
      <c r="F14" s="19">
        <v>3.7</v>
      </c>
      <c r="G14" s="19">
        <v>3.14</v>
      </c>
      <c r="H14" s="19">
        <v>207.26400000000001</v>
      </c>
      <c r="I14" s="19">
        <v>2.1462999999999999E-2</v>
      </c>
      <c r="J14" s="19">
        <v>214</v>
      </c>
    </row>
    <row r="15" spans="1:11" x14ac:dyDescent="0.3">
      <c r="A15" s="19">
        <v>26</v>
      </c>
      <c r="B15" s="19">
        <v>4.2671999999999999</v>
      </c>
      <c r="C15" s="19">
        <v>0.375</v>
      </c>
      <c r="D15" s="19">
        <f t="shared" si="0"/>
        <v>0.75</v>
      </c>
      <c r="E15" s="19">
        <v>25.4</v>
      </c>
      <c r="F15" s="19">
        <v>5.5</v>
      </c>
      <c r="G15" s="19">
        <v>3.14</v>
      </c>
      <c r="H15" s="19">
        <v>71.3232</v>
      </c>
      <c r="I15" s="19">
        <v>1.7572000000000001E-2</v>
      </c>
      <c r="J15" s="19">
        <v>63</v>
      </c>
    </row>
    <row r="16" spans="1:11" x14ac:dyDescent="0.3">
      <c r="A16" s="19">
        <v>32</v>
      </c>
      <c r="B16" s="19">
        <v>3.05</v>
      </c>
      <c r="C16" s="19">
        <v>0.375</v>
      </c>
      <c r="D16" s="19">
        <f t="shared" si="0"/>
        <v>0.75</v>
      </c>
      <c r="E16" s="19">
        <v>2.84</v>
      </c>
      <c r="F16" s="19">
        <v>0.6</v>
      </c>
      <c r="G16" s="19">
        <v>3.14</v>
      </c>
      <c r="H16" s="19">
        <v>168</v>
      </c>
      <c r="I16" s="19">
        <v>4.9280000000000001E-3</v>
      </c>
      <c r="J16" s="19">
        <v>162</v>
      </c>
    </row>
    <row r="17" spans="1:11" x14ac:dyDescent="0.3">
      <c r="A17" s="19">
        <v>35</v>
      </c>
      <c r="B17" s="19">
        <v>5.335</v>
      </c>
      <c r="C17" s="19">
        <v>0.375</v>
      </c>
      <c r="D17" s="19">
        <f t="shared" si="0"/>
        <v>0.75</v>
      </c>
      <c r="E17" s="19">
        <v>18.27</v>
      </c>
      <c r="F17" s="19">
        <v>1.9</v>
      </c>
      <c r="G17" s="19">
        <v>3.14</v>
      </c>
      <c r="H17" s="19">
        <v>229</v>
      </c>
      <c r="I17" s="19">
        <v>7.8460000000000005E-3</v>
      </c>
      <c r="J17" s="19">
        <v>229</v>
      </c>
    </row>
    <row r="18" spans="1:11" x14ac:dyDescent="0.3">
      <c r="A18" s="19">
        <v>36</v>
      </c>
      <c r="B18" s="19">
        <v>4.57</v>
      </c>
      <c r="C18" s="19">
        <v>0.375</v>
      </c>
      <c r="D18" s="19">
        <f t="shared" si="0"/>
        <v>0.75</v>
      </c>
      <c r="E18" s="19">
        <v>3.23</v>
      </c>
      <c r="F18" s="19">
        <v>0.1</v>
      </c>
      <c r="G18" s="19">
        <v>3.14</v>
      </c>
      <c r="H18" s="19">
        <v>198</v>
      </c>
      <c r="I18" s="19">
        <v>6.4258999999999997E-2</v>
      </c>
      <c r="J18" s="19">
        <v>199</v>
      </c>
    </row>
    <row r="19" spans="1:11" x14ac:dyDescent="0.3">
      <c r="A19" s="19">
        <v>38</v>
      </c>
      <c r="B19" s="19">
        <v>1.22</v>
      </c>
      <c r="C19" s="19">
        <v>0.375</v>
      </c>
      <c r="D19" s="19">
        <f t="shared" si="0"/>
        <v>0.75</v>
      </c>
      <c r="E19" s="19">
        <v>0.96</v>
      </c>
      <c r="F19" s="19">
        <v>3.9</v>
      </c>
      <c r="G19" s="19">
        <v>3.14</v>
      </c>
      <c r="H19" s="19">
        <v>30</v>
      </c>
      <c r="I19" s="19">
        <v>2.0100000000000001E-3</v>
      </c>
      <c r="J19" s="19">
        <v>23</v>
      </c>
    </row>
    <row r="20" spans="1:11" x14ac:dyDescent="0.3">
      <c r="A20" s="19">
        <v>39</v>
      </c>
      <c r="B20" s="19">
        <v>1.22</v>
      </c>
      <c r="C20" s="19">
        <v>0.375</v>
      </c>
      <c r="D20" s="19">
        <f t="shared" si="0"/>
        <v>0.75</v>
      </c>
      <c r="E20" s="19">
        <v>13.8</v>
      </c>
      <c r="F20" s="19">
        <v>7.6</v>
      </c>
      <c r="G20" s="19">
        <v>3.14</v>
      </c>
      <c r="H20" s="19">
        <v>64</v>
      </c>
      <c r="I20" s="19">
        <v>5.901E-3</v>
      </c>
      <c r="J20" s="19">
        <v>55</v>
      </c>
    </row>
    <row r="21" spans="1:11" x14ac:dyDescent="0.3">
      <c r="A21" s="19">
        <v>40</v>
      </c>
      <c r="B21" s="19">
        <v>8.3800000000000008</v>
      </c>
      <c r="C21" s="19">
        <v>0.375</v>
      </c>
      <c r="D21" s="19">
        <f t="shared" si="0"/>
        <v>0.75</v>
      </c>
      <c r="E21" s="19">
        <v>32.56</v>
      </c>
      <c r="F21" s="19">
        <v>9.82</v>
      </c>
      <c r="G21" s="19">
        <v>3.14</v>
      </c>
      <c r="H21" s="19">
        <v>244</v>
      </c>
      <c r="I21" s="19">
        <v>2.0100000000000001E-3</v>
      </c>
      <c r="J21" s="19">
        <v>243</v>
      </c>
    </row>
    <row r="22" spans="1:11" x14ac:dyDescent="0.3">
      <c r="A22" s="19">
        <v>47</v>
      </c>
      <c r="B22" s="19">
        <v>6</v>
      </c>
      <c r="C22" s="19">
        <v>0.375</v>
      </c>
      <c r="D22" s="19">
        <f t="shared" si="0"/>
        <v>0.75</v>
      </c>
      <c r="E22" s="19">
        <v>2.4</v>
      </c>
      <c r="F22" s="19">
        <v>2</v>
      </c>
      <c r="G22" s="19">
        <v>3.14</v>
      </c>
      <c r="H22" s="19">
        <v>90</v>
      </c>
      <c r="I22" s="19">
        <v>2.0100000000000001E-3</v>
      </c>
      <c r="J22" s="19">
        <v>92</v>
      </c>
    </row>
    <row r="23" spans="1:11" x14ac:dyDescent="0.3">
      <c r="A23" s="19">
        <v>48</v>
      </c>
      <c r="B23" s="19">
        <v>6</v>
      </c>
      <c r="C23" s="19">
        <v>0.375</v>
      </c>
      <c r="D23" s="19">
        <f t="shared" si="0"/>
        <v>0.75</v>
      </c>
      <c r="E23" s="19">
        <v>1.4</v>
      </c>
      <c r="F23" s="19">
        <v>2</v>
      </c>
      <c r="G23" s="19">
        <v>3.14</v>
      </c>
      <c r="H23" s="19">
        <v>60</v>
      </c>
      <c r="I23" s="19">
        <v>2.0100000000000001E-3</v>
      </c>
      <c r="J23" s="19">
        <v>50</v>
      </c>
    </row>
    <row r="24" spans="1:11" x14ac:dyDescent="0.3">
      <c r="A24" s="19">
        <v>54</v>
      </c>
      <c r="B24" s="19">
        <v>5.5</v>
      </c>
      <c r="C24" s="19">
        <v>0.375</v>
      </c>
      <c r="D24" s="19">
        <f t="shared" si="0"/>
        <v>0.75</v>
      </c>
      <c r="E24" s="19">
        <v>33</v>
      </c>
      <c r="F24" s="19">
        <v>7.5</v>
      </c>
      <c r="G24" s="19">
        <v>3.14</v>
      </c>
      <c r="H24" s="19">
        <v>250</v>
      </c>
      <c r="I24" s="19">
        <v>2.7390000000000001E-3</v>
      </c>
      <c r="J24" s="19">
        <v>244</v>
      </c>
    </row>
    <row r="25" spans="1:11" x14ac:dyDescent="0.3">
      <c r="A25" s="19">
        <v>55</v>
      </c>
      <c r="B25" s="19">
        <v>3.7</v>
      </c>
      <c r="C25" s="19">
        <v>0.375</v>
      </c>
      <c r="D25" s="19">
        <f t="shared" si="0"/>
        <v>0.75</v>
      </c>
      <c r="E25" s="19">
        <v>123</v>
      </c>
      <c r="F25" s="19">
        <v>1.6</v>
      </c>
      <c r="G25" s="19">
        <v>3.14</v>
      </c>
      <c r="H25" s="19">
        <v>200</v>
      </c>
      <c r="I25" s="19">
        <v>0.28213199999999999</v>
      </c>
      <c r="J25" s="19">
        <v>200</v>
      </c>
      <c r="K25" s="13" t="s">
        <v>64</v>
      </c>
    </row>
    <row r="26" spans="1:11" x14ac:dyDescent="0.3">
      <c r="A26" s="19">
        <v>56</v>
      </c>
      <c r="B26" s="19">
        <v>3</v>
      </c>
      <c r="C26" s="19">
        <v>0.375</v>
      </c>
      <c r="D26" s="19">
        <f t="shared" si="0"/>
        <v>0.75</v>
      </c>
      <c r="E26" s="19">
        <v>230</v>
      </c>
      <c r="F26" s="19">
        <v>0.6</v>
      </c>
      <c r="G26" s="19">
        <v>3.14</v>
      </c>
      <c r="H26" s="19">
        <v>500</v>
      </c>
      <c r="I26" s="19">
        <v>0.43775599999999998</v>
      </c>
      <c r="J26" s="19">
        <v>506</v>
      </c>
      <c r="K26" s="13" t="s">
        <v>64</v>
      </c>
    </row>
    <row r="27" spans="1:11" x14ac:dyDescent="0.3">
      <c r="A27" s="19">
        <v>61</v>
      </c>
      <c r="B27" s="19">
        <v>1.5</v>
      </c>
      <c r="C27" s="19">
        <v>0.375</v>
      </c>
      <c r="D27" s="19">
        <f t="shared" si="0"/>
        <v>0.75</v>
      </c>
      <c r="E27" s="19">
        <v>8.9</v>
      </c>
      <c r="F27" s="19">
        <v>0.99</v>
      </c>
      <c r="G27" s="19">
        <v>3.14</v>
      </c>
      <c r="H27" s="19">
        <v>250</v>
      </c>
      <c r="I27" s="19">
        <v>6.3870000000000003E-3</v>
      </c>
      <c r="J27" s="19">
        <v>252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D422-371D-4FBA-A999-AA4176C8DD6A}">
  <dimension ref="A1:K32"/>
  <sheetViews>
    <sheetView topLeftCell="A16" workbookViewId="0">
      <selection activeCell="J19" sqref="J19"/>
    </sheetView>
  </sheetViews>
  <sheetFormatPr defaultRowHeight="14.4" x14ac:dyDescent="0.3"/>
  <cols>
    <col min="9" max="9" width="15.44140625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</row>
    <row r="2" spans="1:11" s="1" customFormat="1" x14ac:dyDescent="0.3">
      <c r="A2" s="19">
        <v>2</v>
      </c>
      <c r="B2" s="19">
        <v>1.524</v>
      </c>
      <c r="C2" s="19">
        <v>0.5</v>
      </c>
      <c r="D2" s="20">
        <f>C2*2</f>
        <v>1</v>
      </c>
      <c r="E2" s="19">
        <v>28</v>
      </c>
      <c r="F2" s="19">
        <v>7.1</v>
      </c>
      <c r="G2" s="19">
        <v>3.14</v>
      </c>
      <c r="H2" s="19">
        <v>228.6</v>
      </c>
      <c r="I2" s="19">
        <v>4.9280000000000001E-3</v>
      </c>
      <c r="J2" s="19">
        <v>219</v>
      </c>
    </row>
    <row r="3" spans="1:11" s="1" customFormat="1" x14ac:dyDescent="0.3">
      <c r="A3" s="19">
        <v>4</v>
      </c>
      <c r="B3" s="19">
        <v>3.048</v>
      </c>
      <c r="C3" s="19">
        <v>0.5</v>
      </c>
      <c r="D3" s="20">
        <f t="shared" ref="D3:D32" si="0">C3*2</f>
        <v>1</v>
      </c>
      <c r="E3" s="19">
        <v>43.28</v>
      </c>
      <c r="F3" s="19">
        <v>12.6</v>
      </c>
      <c r="G3" s="19">
        <v>3.14</v>
      </c>
      <c r="H3" s="19">
        <v>213.36</v>
      </c>
      <c r="I3" s="19">
        <v>4.4419999999999998E-3</v>
      </c>
      <c r="J3" s="19">
        <v>210</v>
      </c>
    </row>
    <row r="4" spans="1:11" s="1" customFormat="1" x14ac:dyDescent="0.3">
      <c r="A4" s="19">
        <v>6</v>
      </c>
      <c r="B4" s="19">
        <v>3.81</v>
      </c>
      <c r="C4" s="19">
        <v>0.5</v>
      </c>
      <c r="D4" s="20">
        <f t="shared" si="0"/>
        <v>1</v>
      </c>
      <c r="E4" s="19">
        <v>4.03</v>
      </c>
      <c r="F4" s="19">
        <v>3.8</v>
      </c>
      <c r="G4" s="19">
        <v>3.14</v>
      </c>
      <c r="H4" s="19">
        <v>91.44</v>
      </c>
      <c r="I4" s="19">
        <v>2.983E-3</v>
      </c>
      <c r="J4" s="19">
        <v>95</v>
      </c>
    </row>
    <row r="5" spans="1:11" x14ac:dyDescent="0.3">
      <c r="A5" s="19">
        <v>7</v>
      </c>
      <c r="B5" s="19">
        <v>2.286</v>
      </c>
      <c r="C5" s="19">
        <v>0.5</v>
      </c>
      <c r="D5" s="20">
        <f t="shared" si="0"/>
        <v>1</v>
      </c>
      <c r="E5" s="19">
        <v>14.1</v>
      </c>
      <c r="F5" s="19">
        <v>3.7</v>
      </c>
      <c r="G5" s="19">
        <v>3.14</v>
      </c>
      <c r="H5" s="19">
        <v>146.304</v>
      </c>
      <c r="I5" s="19">
        <v>7.8460000000000005E-3</v>
      </c>
      <c r="J5" s="19">
        <v>145</v>
      </c>
    </row>
    <row r="6" spans="1:11" x14ac:dyDescent="0.3">
      <c r="A6" s="19">
        <v>8</v>
      </c>
      <c r="B6" s="19">
        <v>1.524</v>
      </c>
      <c r="C6" s="19">
        <v>0.5</v>
      </c>
      <c r="D6" s="20">
        <f t="shared" si="0"/>
        <v>1</v>
      </c>
      <c r="E6" s="19">
        <v>29.64</v>
      </c>
      <c r="F6" s="19">
        <v>2.4</v>
      </c>
      <c r="G6" s="19">
        <v>3.14</v>
      </c>
      <c r="H6" s="19">
        <v>76.2</v>
      </c>
      <c r="I6" s="19">
        <v>0.12650900000000001</v>
      </c>
      <c r="J6" s="19">
        <v>75</v>
      </c>
      <c r="K6" s="13" t="s">
        <v>64</v>
      </c>
    </row>
    <row r="7" spans="1:11" x14ac:dyDescent="0.3">
      <c r="A7" s="19">
        <v>10</v>
      </c>
      <c r="B7" s="19">
        <v>5.3339999999999996</v>
      </c>
      <c r="C7" s="19">
        <v>0.5</v>
      </c>
      <c r="D7" s="20">
        <f t="shared" si="0"/>
        <v>1</v>
      </c>
      <c r="E7" s="19">
        <v>18.27</v>
      </c>
      <c r="F7" s="19">
        <v>1.9</v>
      </c>
      <c r="G7" s="19">
        <v>3.14</v>
      </c>
      <c r="H7" s="19">
        <v>350.52</v>
      </c>
      <c r="I7" s="19">
        <v>8.3320000000000009E-3</v>
      </c>
      <c r="J7" s="19">
        <v>345</v>
      </c>
    </row>
    <row r="8" spans="1:11" x14ac:dyDescent="0.3">
      <c r="A8" s="19">
        <v>13</v>
      </c>
      <c r="B8" s="19">
        <v>1.524</v>
      </c>
      <c r="C8" s="19">
        <v>0.5</v>
      </c>
      <c r="D8" s="20">
        <f t="shared" si="0"/>
        <v>1</v>
      </c>
      <c r="E8" s="19">
        <v>12.84</v>
      </c>
      <c r="F8" s="19">
        <v>6.5</v>
      </c>
      <c r="G8" s="19">
        <v>3.14</v>
      </c>
      <c r="H8" s="19">
        <v>109.72799999999999</v>
      </c>
      <c r="I8" s="19">
        <v>4.9280000000000001E-3</v>
      </c>
      <c r="J8" s="19">
        <v>113</v>
      </c>
    </row>
    <row r="9" spans="1:11" x14ac:dyDescent="0.3">
      <c r="A9" s="19">
        <v>15</v>
      </c>
      <c r="B9" s="19">
        <v>1.524</v>
      </c>
      <c r="C9" s="19">
        <v>0.5</v>
      </c>
      <c r="D9" s="20">
        <f t="shared" si="0"/>
        <v>1</v>
      </c>
      <c r="E9" s="19">
        <v>13.8</v>
      </c>
      <c r="F9" s="19">
        <v>9</v>
      </c>
      <c r="G9" s="19">
        <v>3.14</v>
      </c>
      <c r="H9" s="19">
        <v>96.012</v>
      </c>
      <c r="I9" s="19">
        <v>3.9550000000000002E-3</v>
      </c>
      <c r="J9" s="19">
        <v>105</v>
      </c>
    </row>
    <row r="10" spans="1:11" x14ac:dyDescent="0.3">
      <c r="A10" s="19">
        <v>16</v>
      </c>
      <c r="B10" s="19">
        <v>3.048</v>
      </c>
      <c r="C10" s="19">
        <v>0.5</v>
      </c>
      <c r="D10" s="20">
        <f t="shared" si="0"/>
        <v>1</v>
      </c>
      <c r="E10" s="19">
        <v>13.118</v>
      </c>
      <c r="F10" s="19">
        <v>9.3000000000000007</v>
      </c>
      <c r="G10" s="19">
        <v>3.14</v>
      </c>
      <c r="H10" s="19">
        <v>53.34</v>
      </c>
      <c r="I10" s="19">
        <v>9.7909999999999994E-3</v>
      </c>
      <c r="J10" s="19">
        <v>47</v>
      </c>
    </row>
    <row r="11" spans="1:11" x14ac:dyDescent="0.3">
      <c r="A11" s="19">
        <v>17</v>
      </c>
      <c r="B11" s="19">
        <v>2.286</v>
      </c>
      <c r="C11" s="19">
        <v>0.5</v>
      </c>
      <c r="D11" s="20">
        <f t="shared" si="0"/>
        <v>1</v>
      </c>
      <c r="E11" s="19">
        <v>84.9</v>
      </c>
      <c r="F11" s="19">
        <v>8.1999999999999993</v>
      </c>
      <c r="G11" s="19">
        <v>3.14</v>
      </c>
      <c r="H11" s="19">
        <v>128.01599999999999</v>
      </c>
      <c r="I11" s="19">
        <v>3.3134999999999998E-2</v>
      </c>
      <c r="J11" s="19">
        <v>137</v>
      </c>
    </row>
    <row r="12" spans="1:11" x14ac:dyDescent="0.3">
      <c r="A12" s="19">
        <v>19</v>
      </c>
      <c r="B12" s="19">
        <v>4.5720000000000001</v>
      </c>
      <c r="C12" s="19">
        <v>0.5</v>
      </c>
      <c r="D12" s="20">
        <f t="shared" si="0"/>
        <v>1</v>
      </c>
      <c r="E12" s="19">
        <v>49.3</v>
      </c>
      <c r="F12" s="19">
        <v>7.5</v>
      </c>
      <c r="G12" s="19">
        <v>3.14</v>
      </c>
      <c r="H12" s="19">
        <v>192.024</v>
      </c>
      <c r="I12" s="19">
        <v>1.0763999999999999E-2</v>
      </c>
      <c r="J12" s="19">
        <v>194</v>
      </c>
    </row>
    <row r="13" spans="1:11" x14ac:dyDescent="0.3">
      <c r="A13" s="19">
        <v>20</v>
      </c>
      <c r="B13" s="19">
        <v>1.524</v>
      </c>
      <c r="C13" s="19">
        <v>0.5</v>
      </c>
      <c r="D13" s="20">
        <f t="shared" si="0"/>
        <v>1</v>
      </c>
      <c r="E13" s="19">
        <v>90.21</v>
      </c>
      <c r="F13" s="19">
        <v>6.8</v>
      </c>
      <c r="G13" s="19">
        <v>3.14</v>
      </c>
      <c r="H13" s="19">
        <v>60.96</v>
      </c>
      <c r="I13" s="19">
        <v>0.25100699999999998</v>
      </c>
      <c r="J13" s="19">
        <v>58</v>
      </c>
      <c r="K13" s="13" t="s">
        <v>64</v>
      </c>
    </row>
    <row r="14" spans="1:11" x14ac:dyDescent="0.3">
      <c r="A14" s="19">
        <v>22</v>
      </c>
      <c r="B14" s="19">
        <v>2.286</v>
      </c>
      <c r="C14" s="19">
        <v>0.5</v>
      </c>
      <c r="D14" s="20">
        <f t="shared" si="0"/>
        <v>1</v>
      </c>
      <c r="E14" s="19">
        <v>20.95</v>
      </c>
      <c r="F14" s="19">
        <v>8.52</v>
      </c>
      <c r="G14" s="19">
        <v>3.14</v>
      </c>
      <c r="H14" s="19">
        <v>106.68</v>
      </c>
      <c r="I14" s="19">
        <v>6.8729999999999998E-3</v>
      </c>
      <c r="J14" s="19">
        <v>104</v>
      </c>
    </row>
    <row r="15" spans="1:11" x14ac:dyDescent="0.3">
      <c r="A15" s="19">
        <v>24</v>
      </c>
      <c r="B15" s="19">
        <v>3.048</v>
      </c>
      <c r="C15" s="19">
        <v>0.5</v>
      </c>
      <c r="D15" s="20">
        <f t="shared" si="0"/>
        <v>1</v>
      </c>
      <c r="E15" s="19">
        <v>67</v>
      </c>
      <c r="F15" s="19">
        <v>3.7</v>
      </c>
      <c r="G15" s="19">
        <v>3.14</v>
      </c>
      <c r="H15" s="19">
        <v>207.26400000000001</v>
      </c>
      <c r="I15" s="19">
        <v>4.0916000000000001E-2</v>
      </c>
      <c r="J15" s="19">
        <v>210</v>
      </c>
    </row>
    <row r="16" spans="1:11" x14ac:dyDescent="0.3">
      <c r="A16" s="19">
        <v>26</v>
      </c>
      <c r="B16" s="19">
        <v>4.2671999999999999</v>
      </c>
      <c r="C16" s="19">
        <v>0.5</v>
      </c>
      <c r="D16" s="20">
        <f t="shared" si="0"/>
        <v>1</v>
      </c>
      <c r="E16" s="19">
        <v>25.4</v>
      </c>
      <c r="F16" s="19">
        <v>5.5</v>
      </c>
      <c r="G16" s="19">
        <v>3.14</v>
      </c>
      <c r="H16" s="19">
        <v>71.3232</v>
      </c>
      <c r="I16" s="19">
        <v>3.3134999999999998E-2</v>
      </c>
      <c r="J16" s="19">
        <v>62</v>
      </c>
    </row>
    <row r="17" spans="1:11" x14ac:dyDescent="0.3">
      <c r="A17" s="19">
        <v>31</v>
      </c>
      <c r="B17" s="19">
        <v>4.57</v>
      </c>
      <c r="C17" s="19">
        <v>0.5</v>
      </c>
      <c r="D17" s="20">
        <f t="shared" si="0"/>
        <v>1</v>
      </c>
      <c r="E17" s="19">
        <v>9.23</v>
      </c>
      <c r="F17" s="19">
        <v>2.8</v>
      </c>
      <c r="G17" s="19">
        <v>3.14</v>
      </c>
      <c r="H17" s="19">
        <v>366</v>
      </c>
      <c r="I17" s="19">
        <v>2.2529999999999998E-3</v>
      </c>
      <c r="J17" s="19">
        <v>360</v>
      </c>
    </row>
    <row r="18" spans="1:11" x14ac:dyDescent="0.3">
      <c r="A18" s="19">
        <v>32</v>
      </c>
      <c r="B18" s="19">
        <v>3.05</v>
      </c>
      <c r="C18" s="19">
        <v>0.5</v>
      </c>
      <c r="D18" s="20">
        <f t="shared" si="0"/>
        <v>1</v>
      </c>
      <c r="E18" s="19">
        <v>2.84</v>
      </c>
      <c r="F18" s="19">
        <v>0.6</v>
      </c>
      <c r="G18" s="19">
        <v>3.14</v>
      </c>
      <c r="H18" s="19">
        <v>168</v>
      </c>
      <c r="I18" s="19">
        <v>8.8190000000000004E-3</v>
      </c>
      <c r="J18" s="19">
        <v>164</v>
      </c>
    </row>
    <row r="19" spans="1:11" x14ac:dyDescent="0.3">
      <c r="A19" s="19">
        <v>33</v>
      </c>
      <c r="B19" s="19">
        <v>0.30499999999999999</v>
      </c>
      <c r="C19" s="19">
        <v>0.5</v>
      </c>
      <c r="D19" s="20">
        <f t="shared" si="0"/>
        <v>1</v>
      </c>
      <c r="E19" s="19">
        <v>5.48</v>
      </c>
      <c r="F19" s="19">
        <v>7.4</v>
      </c>
      <c r="G19" s="19">
        <v>3.14</v>
      </c>
      <c r="H19" s="19">
        <v>107</v>
      </c>
      <c r="I19" s="19">
        <v>2.0100000000000001E-3</v>
      </c>
      <c r="J19" s="19">
        <v>99</v>
      </c>
    </row>
    <row r="20" spans="1:11" x14ac:dyDescent="0.3">
      <c r="A20" s="19">
        <v>35</v>
      </c>
      <c r="B20" s="19">
        <v>5.335</v>
      </c>
      <c r="C20" s="19">
        <v>0.5</v>
      </c>
      <c r="D20" s="20">
        <f t="shared" si="0"/>
        <v>1</v>
      </c>
      <c r="E20" s="19">
        <v>18.27</v>
      </c>
      <c r="F20" s="19">
        <v>1.9</v>
      </c>
      <c r="G20" s="19">
        <v>3.14</v>
      </c>
      <c r="H20" s="19">
        <v>229</v>
      </c>
      <c r="I20" s="19">
        <v>1.3682E-2</v>
      </c>
      <c r="J20" s="19">
        <v>236</v>
      </c>
    </row>
    <row r="21" spans="1:11" x14ac:dyDescent="0.3">
      <c r="A21" s="19">
        <v>36</v>
      </c>
      <c r="B21" s="19">
        <v>4.57</v>
      </c>
      <c r="C21" s="19">
        <v>0.5</v>
      </c>
      <c r="D21" s="20">
        <f t="shared" si="0"/>
        <v>1</v>
      </c>
      <c r="E21" s="19">
        <v>3.23</v>
      </c>
      <c r="F21" s="19">
        <v>0.1</v>
      </c>
      <c r="G21" s="19">
        <v>3.14</v>
      </c>
      <c r="H21" s="19">
        <v>198</v>
      </c>
      <c r="I21" s="19">
        <v>0.12650900000000001</v>
      </c>
      <c r="J21" s="19">
        <v>196</v>
      </c>
      <c r="K21" s="13" t="s">
        <v>64</v>
      </c>
    </row>
    <row r="22" spans="1:11" x14ac:dyDescent="0.3">
      <c r="A22" s="19">
        <v>38</v>
      </c>
      <c r="B22" s="19">
        <v>1.22</v>
      </c>
      <c r="C22" s="19">
        <v>0.5</v>
      </c>
      <c r="D22" s="20">
        <f t="shared" si="0"/>
        <v>1</v>
      </c>
      <c r="E22" s="19">
        <v>0.96</v>
      </c>
      <c r="F22" s="19">
        <v>3.9</v>
      </c>
      <c r="G22" s="19">
        <v>3.14</v>
      </c>
      <c r="H22" s="19">
        <v>30</v>
      </c>
      <c r="I22" s="19">
        <v>2.0100000000000001E-3</v>
      </c>
      <c r="J22" s="19">
        <v>33</v>
      </c>
    </row>
    <row r="23" spans="1:11" x14ac:dyDescent="0.3">
      <c r="A23" s="19">
        <v>39</v>
      </c>
      <c r="B23" s="19">
        <v>1.22</v>
      </c>
      <c r="C23" s="19">
        <v>0.5</v>
      </c>
      <c r="D23" s="20">
        <f t="shared" si="0"/>
        <v>1</v>
      </c>
      <c r="E23" s="19">
        <v>13.8</v>
      </c>
      <c r="F23" s="19">
        <v>7.6</v>
      </c>
      <c r="G23" s="19">
        <v>3.14</v>
      </c>
      <c r="H23" s="19">
        <v>64</v>
      </c>
      <c r="I23" s="19">
        <v>9.7909999999999994E-3</v>
      </c>
      <c r="J23" s="19">
        <v>60</v>
      </c>
    </row>
    <row r="24" spans="1:11" x14ac:dyDescent="0.3">
      <c r="A24" s="19">
        <v>40</v>
      </c>
      <c r="B24" s="19">
        <v>8.3800000000000008</v>
      </c>
      <c r="C24" s="19">
        <v>0.5</v>
      </c>
      <c r="D24" s="20">
        <f t="shared" si="0"/>
        <v>1</v>
      </c>
      <c r="E24" s="19">
        <v>32.56</v>
      </c>
      <c r="F24" s="19">
        <v>9.82</v>
      </c>
      <c r="G24" s="19">
        <v>3.14</v>
      </c>
      <c r="H24" s="19">
        <v>244</v>
      </c>
      <c r="I24" s="19">
        <v>3.4689999999999999E-3</v>
      </c>
      <c r="J24" s="19">
        <v>249</v>
      </c>
    </row>
    <row r="25" spans="1:11" x14ac:dyDescent="0.3">
      <c r="A25" s="19">
        <v>42</v>
      </c>
      <c r="B25" s="19">
        <v>3.05</v>
      </c>
      <c r="C25" s="19">
        <v>0.5</v>
      </c>
      <c r="D25" s="20">
        <f t="shared" si="0"/>
        <v>1</v>
      </c>
      <c r="E25" s="19">
        <v>9.23</v>
      </c>
      <c r="F25" s="19">
        <v>7.7</v>
      </c>
      <c r="G25" s="19">
        <v>3.14</v>
      </c>
      <c r="H25" s="19">
        <v>152</v>
      </c>
      <c r="I25" s="19">
        <v>2.0100000000000001E-3</v>
      </c>
      <c r="J25" s="19">
        <v>149</v>
      </c>
    </row>
    <row r="26" spans="1:11" x14ac:dyDescent="0.3">
      <c r="A26" s="19">
        <v>46</v>
      </c>
      <c r="B26" s="19">
        <v>6</v>
      </c>
      <c r="C26" s="19">
        <v>0.5</v>
      </c>
      <c r="D26" s="20">
        <f t="shared" si="0"/>
        <v>1</v>
      </c>
      <c r="E26" s="19">
        <v>1.3</v>
      </c>
      <c r="F26" s="19">
        <v>1</v>
      </c>
      <c r="G26" s="19">
        <v>3.14</v>
      </c>
      <c r="H26" s="19">
        <v>120</v>
      </c>
      <c r="I26" s="19">
        <v>2.983E-3</v>
      </c>
      <c r="J26" s="19">
        <v>113</v>
      </c>
    </row>
    <row r="27" spans="1:11" x14ac:dyDescent="0.3">
      <c r="A27" s="19">
        <v>47</v>
      </c>
      <c r="B27" s="19">
        <v>6</v>
      </c>
      <c r="C27" s="19">
        <v>0.5</v>
      </c>
      <c r="D27" s="20">
        <f t="shared" si="0"/>
        <v>1</v>
      </c>
      <c r="E27" s="19">
        <v>2.4</v>
      </c>
      <c r="F27" s="19">
        <v>2</v>
      </c>
      <c r="G27" s="19">
        <v>3.14</v>
      </c>
      <c r="H27" s="19">
        <v>90</v>
      </c>
      <c r="I27" s="19">
        <v>3.9550000000000002E-3</v>
      </c>
      <c r="J27" s="19">
        <v>82</v>
      </c>
    </row>
    <row r="28" spans="1:11" x14ac:dyDescent="0.3">
      <c r="A28" s="19">
        <v>48</v>
      </c>
      <c r="B28" s="19">
        <v>6</v>
      </c>
      <c r="C28" s="19">
        <v>0.5</v>
      </c>
      <c r="D28" s="20">
        <f t="shared" si="0"/>
        <v>1</v>
      </c>
      <c r="E28" s="19">
        <v>1.4</v>
      </c>
      <c r="F28" s="19">
        <v>2</v>
      </c>
      <c r="G28" s="19">
        <v>3.14</v>
      </c>
      <c r="H28" s="19">
        <v>60</v>
      </c>
      <c r="I28" s="19">
        <v>3.9550000000000002E-3</v>
      </c>
      <c r="J28" s="19">
        <v>52</v>
      </c>
    </row>
    <row r="29" spans="1:11" x14ac:dyDescent="0.3">
      <c r="A29" s="19">
        <v>54</v>
      </c>
      <c r="B29" s="19">
        <v>5.5</v>
      </c>
      <c r="C29" s="19">
        <v>0.5</v>
      </c>
      <c r="D29" s="20">
        <f t="shared" si="0"/>
        <v>1</v>
      </c>
      <c r="E29" s="19">
        <v>33</v>
      </c>
      <c r="F29" s="19">
        <v>7.5</v>
      </c>
      <c r="G29" s="19">
        <v>3.14</v>
      </c>
      <c r="H29" s="19">
        <v>250</v>
      </c>
      <c r="I29" s="19">
        <v>4.9280000000000001E-3</v>
      </c>
      <c r="J29" s="19">
        <v>242</v>
      </c>
    </row>
    <row r="30" spans="1:11" x14ac:dyDescent="0.3">
      <c r="A30" s="19">
        <v>55</v>
      </c>
      <c r="B30" s="19">
        <v>3.7</v>
      </c>
      <c r="C30" s="19">
        <v>0.5</v>
      </c>
      <c r="D30" s="20">
        <f t="shared" si="0"/>
        <v>1</v>
      </c>
      <c r="E30" s="19">
        <v>123</v>
      </c>
      <c r="F30" s="19">
        <v>1.6</v>
      </c>
      <c r="G30" s="19">
        <v>3.14</v>
      </c>
      <c r="H30" s="19">
        <v>200</v>
      </c>
      <c r="I30" s="19">
        <v>0.43775599999999998</v>
      </c>
      <c r="J30" s="19">
        <v>199</v>
      </c>
      <c r="K30" s="13" t="s">
        <v>64</v>
      </c>
    </row>
    <row r="31" spans="1:11" x14ac:dyDescent="0.3">
      <c r="A31" s="19">
        <v>56</v>
      </c>
      <c r="B31" s="19">
        <v>3</v>
      </c>
      <c r="C31" s="19">
        <v>0.5</v>
      </c>
      <c r="D31" s="20">
        <f t="shared" si="0"/>
        <v>1</v>
      </c>
      <c r="E31" s="19">
        <v>230</v>
      </c>
      <c r="F31" s="19">
        <v>0.6</v>
      </c>
      <c r="G31" s="19">
        <v>3.14</v>
      </c>
      <c r="H31" s="19">
        <v>500</v>
      </c>
      <c r="I31" s="19">
        <v>0.62450399999999995</v>
      </c>
      <c r="J31" s="19">
        <v>508</v>
      </c>
      <c r="K31" s="13" t="s">
        <v>64</v>
      </c>
    </row>
    <row r="32" spans="1:11" x14ac:dyDescent="0.3">
      <c r="A32" s="19">
        <v>61</v>
      </c>
      <c r="B32" s="19">
        <v>1.5</v>
      </c>
      <c r="C32" s="19">
        <v>0.5</v>
      </c>
      <c r="D32" s="20">
        <f t="shared" si="0"/>
        <v>1</v>
      </c>
      <c r="E32" s="19">
        <v>8.9</v>
      </c>
      <c r="F32" s="19">
        <v>0.99</v>
      </c>
      <c r="G32" s="19">
        <v>3.14</v>
      </c>
      <c r="H32" s="19">
        <v>250</v>
      </c>
      <c r="I32" s="19">
        <v>1.1736E-2</v>
      </c>
      <c r="J32" s="19">
        <v>248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97D5-0263-4E53-AB9D-F3BF346314E3}">
  <dimension ref="A1:J3"/>
  <sheetViews>
    <sheetView workbookViewId="0">
      <selection activeCell="E8" sqref="E8"/>
    </sheetView>
  </sheetViews>
  <sheetFormatPr defaultRowHeight="14.4" x14ac:dyDescent="0.3"/>
  <sheetData>
    <row r="1" spans="1:10" s="14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</row>
    <row r="2" spans="1:10" x14ac:dyDescent="0.3">
      <c r="A2" s="21">
        <v>20</v>
      </c>
      <c r="B2" s="21">
        <v>1.524</v>
      </c>
      <c r="C2" s="21">
        <v>0.25</v>
      </c>
      <c r="D2" s="21">
        <f>C2*2</f>
        <v>0.5</v>
      </c>
      <c r="E2" s="21">
        <v>90.21</v>
      </c>
      <c r="F2" s="21">
        <v>90.19</v>
      </c>
      <c r="G2" s="21">
        <v>4.6657567359999996</v>
      </c>
      <c r="H2" s="21">
        <v>60.96</v>
      </c>
      <c r="I2" s="21">
        <v>2.0100000000000001E-3</v>
      </c>
      <c r="J2" s="21">
        <v>53</v>
      </c>
    </row>
    <row r="3" spans="1:10" x14ac:dyDescent="0.3">
      <c r="A3" s="21">
        <v>29</v>
      </c>
      <c r="B3" s="21">
        <v>1.0669999999999999</v>
      </c>
      <c r="C3" s="21">
        <v>0.25</v>
      </c>
      <c r="D3" s="21">
        <f>C3*2</f>
        <v>0.5</v>
      </c>
      <c r="E3" s="21">
        <v>3.57</v>
      </c>
      <c r="F3" s="21">
        <v>3.88</v>
      </c>
      <c r="G3" s="21">
        <v>5.5311855669999996</v>
      </c>
      <c r="H3" s="21">
        <v>57.302399999999999</v>
      </c>
      <c r="I3" s="21">
        <v>2.0100000000000001E-3</v>
      </c>
      <c r="J3" s="21">
        <v>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BCEC-82D1-4441-8A36-B25861C68C87}">
  <dimension ref="A1:K30"/>
  <sheetViews>
    <sheetView workbookViewId="0">
      <selection activeCell="E14" sqref="E14"/>
    </sheetView>
  </sheetViews>
  <sheetFormatPr defaultRowHeight="14.4" x14ac:dyDescent="0.3"/>
  <cols>
    <col min="7" max="7" width="15" customWidth="1"/>
    <col min="9" max="9" width="11.109375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  <c r="K1" s="3"/>
    </row>
    <row r="2" spans="1:11" s="1" customFormat="1" x14ac:dyDescent="0.3">
      <c r="A2" s="21">
        <v>20</v>
      </c>
      <c r="B2" s="21">
        <v>1.524</v>
      </c>
      <c r="C2" s="21">
        <v>0.375</v>
      </c>
      <c r="D2" s="21">
        <f>C2*2</f>
        <v>0.75</v>
      </c>
      <c r="E2" s="21">
        <v>90.21</v>
      </c>
      <c r="F2" s="21">
        <v>90.19</v>
      </c>
      <c r="G2" s="21">
        <v>4.6657567359999996</v>
      </c>
      <c r="H2" s="21">
        <v>60.96</v>
      </c>
      <c r="I2" s="21">
        <v>3.9550000000000002E-3</v>
      </c>
      <c r="J2" s="21">
        <v>64</v>
      </c>
    </row>
    <row r="3" spans="1:11" s="1" customFormat="1" x14ac:dyDescent="0.3">
      <c r="A3" s="21">
        <v>26</v>
      </c>
      <c r="B3" s="21">
        <v>4.2671999999999999</v>
      </c>
      <c r="C3" s="21">
        <v>0.375</v>
      </c>
      <c r="D3" s="21">
        <f t="shared" ref="D3:D5" si="0">C3*2</f>
        <v>0.75</v>
      </c>
      <c r="E3" s="21">
        <v>25.4</v>
      </c>
      <c r="F3" s="21">
        <v>24.5</v>
      </c>
      <c r="G3" s="21">
        <v>4.4513061220000001</v>
      </c>
      <c r="H3" s="21">
        <v>71.3232</v>
      </c>
      <c r="I3" s="21">
        <v>3.9550000000000002E-3</v>
      </c>
      <c r="J3" s="21">
        <v>63</v>
      </c>
    </row>
    <row r="4" spans="1:11" s="1" customFormat="1" x14ac:dyDescent="0.3">
      <c r="A4" s="21">
        <v>29</v>
      </c>
      <c r="B4" s="21">
        <v>1.0669999999999999</v>
      </c>
      <c r="C4" s="21">
        <v>0.375</v>
      </c>
      <c r="D4" s="21">
        <f t="shared" si="0"/>
        <v>0.75</v>
      </c>
      <c r="E4" s="21">
        <v>3.57</v>
      </c>
      <c r="F4" s="21">
        <v>3.88</v>
      </c>
      <c r="G4" s="21">
        <v>5.5311855669999996</v>
      </c>
      <c r="H4" s="21">
        <v>57.302399999999999</v>
      </c>
      <c r="I4" s="21">
        <v>5.901E-3</v>
      </c>
      <c r="J4" s="21">
        <v>50</v>
      </c>
    </row>
    <row r="5" spans="1:11" s="1" customFormat="1" x14ac:dyDescent="0.3">
      <c r="A5" s="21">
        <v>34</v>
      </c>
      <c r="B5" s="21">
        <v>1.5249999999999999</v>
      </c>
      <c r="C5" s="21">
        <v>0.375</v>
      </c>
      <c r="D5" s="21">
        <f t="shared" si="0"/>
        <v>0.75</v>
      </c>
      <c r="E5" s="21">
        <v>48.65</v>
      </c>
      <c r="F5" s="21">
        <v>47.59</v>
      </c>
      <c r="G5" s="21">
        <v>5.9281130490000002</v>
      </c>
      <c r="H5" s="21">
        <v>85</v>
      </c>
      <c r="I5" s="21">
        <v>3.9550000000000002E-3</v>
      </c>
      <c r="J5" s="21">
        <v>80</v>
      </c>
    </row>
    <row r="6" spans="1:11" s="1" customFormat="1" x14ac:dyDescent="0.3">
      <c r="A6"/>
      <c r="B6"/>
      <c r="C6"/>
      <c r="D6"/>
      <c r="E6"/>
      <c r="F6"/>
      <c r="G6"/>
      <c r="H6"/>
      <c r="I6"/>
      <c r="J6"/>
    </row>
    <row r="7" spans="1:11" s="1" customFormat="1" x14ac:dyDescent="0.3">
      <c r="A7"/>
      <c r="B7"/>
      <c r="C7"/>
      <c r="D7"/>
      <c r="E7"/>
      <c r="F7"/>
      <c r="G7"/>
      <c r="H7"/>
      <c r="I7"/>
      <c r="J7"/>
    </row>
    <row r="8" spans="1:11" s="1" customFormat="1" x14ac:dyDescent="0.3"/>
    <row r="9" spans="1:11" s="1" customFormat="1" x14ac:dyDescent="0.3"/>
    <row r="10" spans="1:11" s="1" customFormat="1" x14ac:dyDescent="0.3"/>
    <row r="11" spans="1:11" s="1" customFormat="1" x14ac:dyDescent="0.3"/>
    <row r="12" spans="1:11" s="1" customFormat="1" x14ac:dyDescent="0.3"/>
    <row r="13" spans="1:11" s="1" customFormat="1" x14ac:dyDescent="0.3"/>
    <row r="14" spans="1:11" s="1" customFormat="1" x14ac:dyDescent="0.3"/>
    <row r="15" spans="1:11" s="1" customFormat="1" x14ac:dyDescent="0.3"/>
    <row r="16" spans="1:11" s="1" customFormat="1" x14ac:dyDescent="0.3"/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  <row r="23" s="1" customFormat="1" x14ac:dyDescent="0.3"/>
    <row r="24" s="1" customFormat="1" x14ac:dyDescent="0.3"/>
    <row r="25" s="1" customFormat="1" x14ac:dyDescent="0.3"/>
    <row r="26" s="1" customFormat="1" x14ac:dyDescent="0.3"/>
    <row r="27" s="1" customFormat="1" x14ac:dyDescent="0.3"/>
    <row r="28" s="1" customFormat="1" x14ac:dyDescent="0.3"/>
    <row r="29" s="1" customFormat="1" x14ac:dyDescent="0.3"/>
    <row r="30" s="1" customFormat="1" x14ac:dyDescent="0.3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58C3-651D-4E3E-9C7E-36A7149FCCA8}">
  <dimension ref="A1:K8"/>
  <sheetViews>
    <sheetView workbookViewId="0">
      <selection activeCell="H13" sqref="H13"/>
    </sheetView>
  </sheetViews>
  <sheetFormatPr defaultRowHeight="14.4" x14ac:dyDescent="0.3"/>
  <cols>
    <col min="7" max="7" width="18.44140625" customWidth="1"/>
    <col min="9" max="9" width="16.5546875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66</v>
      </c>
      <c r="J1" s="2" t="s">
        <v>7</v>
      </c>
      <c r="K1" s="3"/>
    </row>
    <row r="2" spans="1:11" x14ac:dyDescent="0.3">
      <c r="A2" s="21">
        <v>17</v>
      </c>
      <c r="B2" s="21">
        <v>2.286</v>
      </c>
      <c r="C2" s="21">
        <v>0.5</v>
      </c>
      <c r="D2" s="22">
        <f>C2*2</f>
        <v>1</v>
      </c>
      <c r="E2" s="21">
        <v>84.9</v>
      </c>
      <c r="F2" s="21">
        <v>97.662999999999997</v>
      </c>
      <c r="G2" s="21">
        <v>4.5985767380000002</v>
      </c>
      <c r="H2" s="21">
        <v>128.01599999999999</v>
      </c>
      <c r="I2" s="21">
        <v>2.496E-3</v>
      </c>
      <c r="J2" s="21">
        <v>129</v>
      </c>
    </row>
    <row r="3" spans="1:11" x14ac:dyDescent="0.3">
      <c r="A3" s="21">
        <v>20</v>
      </c>
      <c r="B3" s="21">
        <v>1.524</v>
      </c>
      <c r="C3" s="21">
        <v>0.5</v>
      </c>
      <c r="D3" s="22">
        <f t="shared" ref="D3:D8" si="0">C3*2</f>
        <v>1</v>
      </c>
      <c r="E3" s="21">
        <v>90.21</v>
      </c>
      <c r="F3" s="21">
        <v>90.19</v>
      </c>
      <c r="G3" s="21">
        <v>4.6657567359999996</v>
      </c>
      <c r="H3" s="21">
        <v>60.96</v>
      </c>
      <c r="I3" s="21">
        <v>7.8460000000000005E-3</v>
      </c>
      <c r="J3" s="21">
        <v>59</v>
      </c>
    </row>
    <row r="4" spans="1:11" x14ac:dyDescent="0.3">
      <c r="A4" s="21">
        <v>22</v>
      </c>
      <c r="B4" s="21">
        <v>2.286</v>
      </c>
      <c r="C4" s="21">
        <v>0.5</v>
      </c>
      <c r="D4" s="22">
        <f t="shared" si="0"/>
        <v>1</v>
      </c>
      <c r="E4" s="21">
        <v>20.95</v>
      </c>
      <c r="F4" s="21">
        <v>25.72</v>
      </c>
      <c r="G4" s="21">
        <v>4.2883359250000002</v>
      </c>
      <c r="H4" s="21">
        <v>106.68</v>
      </c>
      <c r="I4" s="21">
        <v>2.983E-3</v>
      </c>
      <c r="J4" s="21">
        <v>98</v>
      </c>
    </row>
    <row r="5" spans="1:11" x14ac:dyDescent="0.3">
      <c r="A5" s="21">
        <v>26</v>
      </c>
      <c r="B5" s="21">
        <v>4.2671999999999999</v>
      </c>
      <c r="C5" s="21">
        <v>0.5</v>
      </c>
      <c r="D5" s="22">
        <f t="shared" si="0"/>
        <v>1</v>
      </c>
      <c r="E5" s="21">
        <v>25.4</v>
      </c>
      <c r="F5" s="21">
        <v>24.5</v>
      </c>
      <c r="G5" s="21">
        <v>4.4513061220000001</v>
      </c>
      <c r="H5" s="21">
        <v>71.3232</v>
      </c>
      <c r="I5" s="21">
        <v>5.901E-3</v>
      </c>
      <c r="J5" s="21">
        <v>73</v>
      </c>
    </row>
    <row r="6" spans="1:11" x14ac:dyDescent="0.3">
      <c r="A6" s="21">
        <v>29</v>
      </c>
      <c r="B6" s="21">
        <v>1.0669999999999999</v>
      </c>
      <c r="C6" s="21">
        <v>0.5</v>
      </c>
      <c r="D6" s="22">
        <f t="shared" si="0"/>
        <v>1</v>
      </c>
      <c r="E6" s="21">
        <v>3.57</v>
      </c>
      <c r="F6" s="21">
        <v>3.88</v>
      </c>
      <c r="G6" s="21">
        <v>5.5311855669999996</v>
      </c>
      <c r="H6" s="21">
        <v>57.302399999999999</v>
      </c>
      <c r="I6" s="21">
        <v>9.7909999999999994E-3</v>
      </c>
      <c r="J6" s="21">
        <v>54</v>
      </c>
    </row>
    <row r="7" spans="1:11" x14ac:dyDescent="0.3">
      <c r="A7" s="21">
        <v>34</v>
      </c>
      <c r="B7" s="21">
        <v>1.5249999999999999</v>
      </c>
      <c r="C7" s="21">
        <v>0.5</v>
      </c>
      <c r="D7" s="22">
        <f t="shared" si="0"/>
        <v>1</v>
      </c>
      <c r="E7" s="21">
        <v>48.65</v>
      </c>
      <c r="F7" s="21">
        <v>47.59</v>
      </c>
      <c r="G7" s="21">
        <v>5.9281130490000002</v>
      </c>
      <c r="H7" s="21">
        <v>85</v>
      </c>
      <c r="I7" s="21">
        <v>5.901E-3</v>
      </c>
      <c r="J7" s="21">
        <v>95</v>
      </c>
    </row>
    <row r="8" spans="1:11" x14ac:dyDescent="0.3">
      <c r="A8" s="21">
        <v>39</v>
      </c>
      <c r="B8" s="21">
        <v>1.22</v>
      </c>
      <c r="C8" s="21">
        <v>0.5</v>
      </c>
      <c r="D8" s="22">
        <f t="shared" si="0"/>
        <v>1</v>
      </c>
      <c r="E8" s="21">
        <v>13.8</v>
      </c>
      <c r="F8" s="21">
        <v>36.24</v>
      </c>
      <c r="G8" s="21">
        <v>4.4247516559999998</v>
      </c>
      <c r="H8" s="21">
        <v>64</v>
      </c>
      <c r="I8" s="21">
        <v>2.0100000000000001E-3</v>
      </c>
      <c r="J8" s="21">
        <v>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8E4D-BA2F-4DDA-9CC5-7C6F69A6A21E}">
  <dimension ref="A1"/>
  <sheetViews>
    <sheetView workbookViewId="0">
      <selection activeCell="I24" sqref="I24"/>
    </sheetView>
  </sheetViews>
  <sheetFormatPr defaultRowHeight="14.4" x14ac:dyDescent="0.3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E175-D16C-4EE9-B4C3-B479EA526A38}">
  <dimension ref="A1"/>
  <sheetViews>
    <sheetView tabSelected="1" workbookViewId="0">
      <selection activeCell="C8" sqref="C8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382F59-6C70-4E71-A807-344F42B07D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0.1_O2</vt:lpstr>
      <vt:lpstr>0.2_O2</vt:lpstr>
      <vt:lpstr>0.4_O2</vt:lpstr>
      <vt:lpstr>0.5_O2</vt:lpstr>
      <vt:lpstr>0.6_O2</vt:lpstr>
      <vt:lpstr>0.8_O2</vt:lpstr>
      <vt:lpstr>1.0_O2</vt:lpstr>
      <vt:lpstr>0.1_All</vt:lpstr>
      <vt:lpstr>0.2_All</vt:lpstr>
      <vt:lpstr>0.4_All</vt:lpstr>
      <vt:lpstr>0.5_All</vt:lpstr>
      <vt:lpstr>0.6_All</vt:lpstr>
      <vt:lpstr>0.8_All</vt:lpstr>
      <vt:lpstr>1.0_All</vt:lpstr>
      <vt:lpstr>Data</vt:lpstr>
      <vt:lpstr>0.1_O2N</vt:lpstr>
      <vt:lpstr>0.25_O2N</vt:lpstr>
      <vt:lpstr>0.5_O2N</vt:lpstr>
      <vt:lpstr>0.75_O2N</vt:lpstr>
      <vt:lpstr>1.0_O2N</vt:lpstr>
      <vt:lpstr>0.5_AllN</vt:lpstr>
      <vt:lpstr>0.75_AllN</vt:lpstr>
      <vt:lpstr>1.0_AllN</vt:lpstr>
      <vt:lpstr>0.1_AllN</vt:lpstr>
      <vt:lpstr>0.25_AllN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Sreelekshmi Sreelekshmi</dc:creator>
  <cp:lastModifiedBy>Moulshree Tripathi</cp:lastModifiedBy>
  <dcterms:created xsi:type="dcterms:W3CDTF">2026-06-06T20:09:24Z</dcterms:created>
  <dcterms:modified xsi:type="dcterms:W3CDTF">2026-10-06T15:19:45Z</dcterms:modified>
</cp:coreProperties>
</file>