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us\Desktop\ipynb codes\"/>
    </mc:Choice>
  </mc:AlternateContent>
  <xr:revisionPtr revIDLastSave="0" documentId="13_ncr:1_{82AEC7FB-6EF5-4FA2-AE2E-953BFFF91AE3}" xr6:coauthVersionLast="47" xr6:coauthVersionMax="47" xr10:uidLastSave="{00000000-0000-0000-0000-000000000000}"/>
  <bookViews>
    <workbookView xWindow="-110" yWindow="-110" windowWidth="19420" windowHeight="10300" xr2:uid="{8880D4DC-6F1E-444C-9227-B91B96AB3971}"/>
  </bookViews>
  <sheets>
    <sheet name="0.1_O2" sheetId="9" r:id="rId1"/>
    <sheet name="0.25_O2" sheetId="10" r:id="rId2"/>
    <sheet name="0.5_O2" sheetId="11" r:id="rId3"/>
    <sheet name="0.75_O2" sheetId="12" r:id="rId4"/>
    <sheet name="1.0_O2" sheetId="13" r:id="rId5"/>
    <sheet name="1.5_O2" sheetId="14" r:id="rId6"/>
    <sheet name="2.0_O2" sheetId="1" r:id="rId7"/>
    <sheet name="0.1_All" sheetId="15" r:id="rId8"/>
    <sheet name="0.25_All" sheetId="23" r:id="rId9"/>
    <sheet name="0.5_All" sheetId="24" r:id="rId10"/>
    <sheet name="0.75_All" sheetId="25" r:id="rId11"/>
    <sheet name="1.0_All" sheetId="26" r:id="rId12"/>
    <sheet name="1.5_All" sheetId="27" r:id="rId13"/>
    <sheet name="2.0_All" sheetId="28" r:id="rId14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28" l="1"/>
  <c r="D4" i="28"/>
  <c r="D5" i="28"/>
  <c r="D6" i="28"/>
  <c r="D7" i="28"/>
  <c r="D8" i="28"/>
  <c r="D9" i="28"/>
  <c r="D10" i="28"/>
  <c r="D11" i="28"/>
  <c r="D12" i="28"/>
  <c r="D13" i="28"/>
  <c r="D14" i="28"/>
  <c r="D15" i="28"/>
  <c r="D16" i="28"/>
  <c r="D17" i="28"/>
  <c r="D18" i="28"/>
  <c r="D19" i="28"/>
  <c r="D20" i="28"/>
  <c r="D21" i="28"/>
  <c r="D22" i="28"/>
  <c r="D23" i="28"/>
  <c r="D24" i="28"/>
  <c r="D25" i="28"/>
  <c r="D26" i="28"/>
  <c r="D27" i="28"/>
  <c r="D28" i="28"/>
  <c r="D29" i="28"/>
  <c r="D30" i="28"/>
  <c r="D31" i="28"/>
  <c r="D32" i="28"/>
  <c r="D33" i="28"/>
  <c r="D2" i="28"/>
  <c r="D3" i="27"/>
  <c r="D4" i="27"/>
  <c r="D5" i="27"/>
  <c r="D6" i="27"/>
  <c r="D7" i="27"/>
  <c r="D8" i="27"/>
  <c r="D9" i="27"/>
  <c r="D10" i="27"/>
  <c r="D11" i="27"/>
  <c r="D12" i="27"/>
  <c r="D13" i="27"/>
  <c r="D14" i="27"/>
  <c r="D15" i="27"/>
  <c r="D16" i="27"/>
  <c r="D17" i="27"/>
  <c r="D18" i="27"/>
  <c r="D19" i="27"/>
  <c r="D20" i="27"/>
  <c r="D21" i="27"/>
  <c r="D22" i="27"/>
  <c r="D23" i="27"/>
  <c r="D24" i="27"/>
  <c r="D25" i="27"/>
  <c r="D26" i="27"/>
  <c r="D27" i="27"/>
  <c r="D28" i="27"/>
  <c r="D29" i="27"/>
  <c r="D30" i="27"/>
  <c r="D31" i="27"/>
  <c r="D32" i="27"/>
  <c r="D33" i="27"/>
  <c r="D34" i="27"/>
  <c r="D2" i="27"/>
  <c r="D3" i="26"/>
  <c r="D4" i="26"/>
  <c r="D5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2" i="26"/>
  <c r="D3" i="25"/>
  <c r="D4" i="25"/>
  <c r="D5" i="25"/>
  <c r="D6" i="25"/>
  <c r="D7" i="25"/>
  <c r="D8" i="25"/>
  <c r="D9" i="25"/>
  <c r="D10" i="25"/>
  <c r="D11" i="25"/>
  <c r="D12" i="25"/>
  <c r="D13" i="25"/>
  <c r="D14" i="25"/>
  <c r="D15" i="25"/>
  <c r="D16" i="25"/>
  <c r="D17" i="25"/>
  <c r="D18" i="25"/>
  <c r="D19" i="25"/>
  <c r="D20" i="25"/>
  <c r="D21" i="25"/>
  <c r="D22" i="25"/>
  <c r="D23" i="25"/>
  <c r="D24" i="25"/>
  <c r="D25" i="25"/>
  <c r="D26" i="25"/>
  <c r="D27" i="25"/>
  <c r="D28" i="25"/>
  <c r="D29" i="25"/>
  <c r="D30" i="25"/>
  <c r="D31" i="25"/>
  <c r="D32" i="25"/>
  <c r="D33" i="25"/>
  <c r="D34" i="25"/>
  <c r="D35" i="25"/>
  <c r="D36" i="25"/>
  <c r="D37" i="25"/>
  <c r="D38" i="25"/>
  <c r="D2" i="25"/>
  <c r="D3" i="24"/>
  <c r="D4" i="24"/>
  <c r="D5" i="24"/>
  <c r="D6" i="24"/>
  <c r="D7" i="24"/>
  <c r="D8" i="24"/>
  <c r="D9" i="24"/>
  <c r="D10" i="24"/>
  <c r="D11" i="24"/>
  <c r="D12" i="24"/>
  <c r="D13" i="24"/>
  <c r="D14" i="24"/>
  <c r="D15" i="24"/>
  <c r="D16" i="24"/>
  <c r="D17" i="24"/>
  <c r="D18" i="24"/>
  <c r="D19" i="24"/>
  <c r="D20" i="24"/>
  <c r="D21" i="24"/>
  <c r="D22" i="24"/>
  <c r="D23" i="24"/>
  <c r="D24" i="24"/>
  <c r="D25" i="24"/>
  <c r="D26" i="24"/>
  <c r="D27" i="24"/>
  <c r="D28" i="24"/>
  <c r="D29" i="24"/>
  <c r="D30" i="24"/>
  <c r="D31" i="24"/>
  <c r="D32" i="24"/>
  <c r="D33" i="24"/>
  <c r="D34" i="24"/>
  <c r="D35" i="24"/>
  <c r="D36" i="24"/>
  <c r="D37" i="24"/>
  <c r="D38" i="24"/>
  <c r="D39" i="24"/>
  <c r="D40" i="24"/>
  <c r="D2" i="24"/>
  <c r="D3" i="23"/>
  <c r="D4" i="23"/>
  <c r="D5" i="23"/>
  <c r="D6" i="23"/>
  <c r="D7" i="23"/>
  <c r="D8" i="23"/>
  <c r="D9" i="23"/>
  <c r="D10" i="23"/>
  <c r="D11" i="23"/>
  <c r="D12" i="23"/>
  <c r="D13" i="23"/>
  <c r="D14" i="23"/>
  <c r="D15" i="23"/>
  <c r="D16" i="23"/>
  <c r="D17" i="23"/>
  <c r="D18" i="23"/>
  <c r="D19" i="23"/>
  <c r="D20" i="23"/>
  <c r="D21" i="23"/>
  <c r="D22" i="23"/>
  <c r="D23" i="23"/>
  <c r="D24" i="23"/>
  <c r="D25" i="23"/>
  <c r="D26" i="23"/>
  <c r="D27" i="23"/>
  <c r="D28" i="23"/>
  <c r="D29" i="23"/>
  <c r="D30" i="23"/>
  <c r="D31" i="23"/>
  <c r="D32" i="23"/>
  <c r="D33" i="23"/>
  <c r="D34" i="23"/>
  <c r="D35" i="23"/>
  <c r="D36" i="23"/>
  <c r="D37" i="23"/>
  <c r="D2" i="23"/>
  <c r="D3" i="15"/>
  <c r="D4" i="15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2" i="15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2" i="11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2" i="10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D3" i="14"/>
  <c r="D4" i="14"/>
  <c r="D5" i="14"/>
  <c r="D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" i="14"/>
  <c r="D3" i="13"/>
  <c r="D4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2" i="13"/>
  <c r="D3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2" i="12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2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245613-A79E-4982-9570-BED2822D1131}" keepAlive="1" name="Query - output_values_0 1" description="Connection to the 'output_values_0 1' query in the workbook." type="5" refreshedVersion="0" background="1">
    <dbPr connection="Provider=Microsoft.Mashup.OleDb.1;Data Source=$Workbook$;Location=&quot;output_values_0 1&quot;;Extended Properties=&quot;&quot;" command="SELECT * FROM [output_values_0 1]"/>
  </connection>
  <connection id="2" xr16:uid="{56D416A2-86A9-4D59-B60B-9345930C1E3D}" keepAlive="1" name="Query - output_values_0 1 (2)" description="Connection to the 'output_values_0 1 (2)' query in the workbook." type="5" refreshedVersion="8" background="1" saveData="1">
    <dbPr connection="Provider=Microsoft.Mashup.OleDb.1;Data Source=$Workbook$;Location=&quot;output_values_0 1 (2)&quot;;Extended Properties=&quot;&quot;" command="SELECT * FROM [output_values_0 1 (2)]"/>
  </connection>
  <connection id="3" xr16:uid="{0615B20C-6052-4730-B1AD-348EFC9531B9}" keepAlive="1" name="Query - output_values_0 25" description="Connection to the 'output_values_0 25' query in the workbook." type="5" refreshedVersion="0" background="1">
    <dbPr connection="Provider=Microsoft.Mashup.OleDb.1;Data Source=$Workbook$;Location=&quot;output_values_0 25&quot;;Extended Properties=&quot;&quot;" command="SELECT * FROM [output_values_0 25]"/>
  </connection>
  <connection id="4" xr16:uid="{51B5185E-A7B4-4992-9EF3-874E25BDED39}" keepAlive="1" name="Query - output_values_0 25 (2)" description="Connection to the 'output_values_0 25 (2)' query in the workbook." type="5" refreshedVersion="8" background="1" saveData="1">
    <dbPr connection="Provider=Microsoft.Mashup.OleDb.1;Data Source=$Workbook$;Location=&quot;output_values_0 25 (2)&quot;;Extended Properties=&quot;&quot;" command="SELECT * FROM [output_values_0 25 (2)]"/>
  </connection>
  <connection id="5" xr16:uid="{C24AC3B0-1960-4E92-8863-E96A45EAF10A}" keepAlive="1" name="Query - output_values_0 5" description="Connection to the 'output_values_0 5' query in the workbook." type="5" refreshedVersion="0" background="1">
    <dbPr connection="Provider=Microsoft.Mashup.OleDb.1;Data Source=$Workbook$;Location=&quot;output_values_0 5&quot;;Extended Properties=&quot;&quot;" command="SELECT * FROM [output_values_0 5]"/>
  </connection>
  <connection id="6" xr16:uid="{D5959D45-EB54-463F-B6E1-2146663629DB}" keepAlive="1" name="Query - output_values_0 5 (2)" description="Connection to the 'output_values_0 5 (2)' query in the workbook." type="5" refreshedVersion="8" background="1" saveData="1">
    <dbPr connection="Provider=Microsoft.Mashup.OleDb.1;Data Source=$Workbook$;Location=&quot;output_values_0 5 (2)&quot;;Extended Properties=&quot;&quot;" command="SELECT * FROM [output_values_0 5 (2)]"/>
  </connection>
  <connection id="7" xr16:uid="{AF63EF86-A76F-42E5-905D-2463F17F4F88}" keepAlive="1" name="Query - output_values_0 75" description="Connection to the 'output_values_0 75' query in the workbook." type="5" refreshedVersion="0" background="1">
    <dbPr connection="Provider=Microsoft.Mashup.OleDb.1;Data Source=$Workbook$;Location=&quot;output_values_0 75&quot;;Extended Properties=&quot;&quot;" command="SELECT * FROM [output_values_0 75]"/>
  </connection>
  <connection id="8" xr16:uid="{13EA774A-099A-40A0-B593-573285A96667}" keepAlive="1" name="Query - output_values_0 75 (2)" description="Connection to the 'output_values_0 75 (2)' query in the workbook." type="5" refreshedVersion="8" background="1" saveData="1">
    <dbPr connection="Provider=Microsoft.Mashup.OleDb.1;Data Source=$Workbook$;Location=&quot;output_values_0 75 (2)&quot;;Extended Properties=&quot;&quot;" command="SELECT * FROM [output_values_0 75 (2)]"/>
  </connection>
  <connection id="9" xr16:uid="{77F705FE-84CB-41F4-ACF2-446203AC5E6C}" keepAlive="1" name="Query - output_values_1 0" description="Connection to the 'output_values_1 0' query in the workbook." type="5" refreshedVersion="0" background="1">
    <dbPr connection="Provider=Microsoft.Mashup.OleDb.1;Data Source=$Workbook$;Location=&quot;output_values_1 0&quot;;Extended Properties=&quot;&quot;" command="SELECT * FROM [output_values_1 0]"/>
  </connection>
  <connection id="10" xr16:uid="{DC11D2E1-8AEB-412A-9550-8C0821888DDA}" keepAlive="1" name="Query - output_values_1 0 (2)" description="Connection to the 'output_values_1 0 (2)' query in the workbook." type="5" refreshedVersion="8" background="1" saveData="1">
    <dbPr connection="Provider=Microsoft.Mashup.OleDb.1;Data Source=$Workbook$;Location=&quot;output_values_1 0 (2)&quot;;Extended Properties=&quot;&quot;" command="SELECT * FROM [output_values_1 0 (2)]"/>
  </connection>
  <connection id="11" xr16:uid="{324565F7-A7BF-4116-A821-B08346D5471D}" keepAlive="1" name="Query - output_values_1 5" description="Connection to the 'output_values_1 5' query in the workbook." type="5" refreshedVersion="0" background="1">
    <dbPr connection="Provider=Microsoft.Mashup.OleDb.1;Data Source=$Workbook$;Location=&quot;output_values_1 5&quot;;Extended Properties=&quot;&quot;" command="SELECT * FROM [output_values_1 5]"/>
  </connection>
  <connection id="12" xr16:uid="{93483967-D629-42D1-AF44-ACB6F0C11AB7}" keepAlive="1" name="Query - output_values_1 5 (2)" description="Connection to the 'output_values_1 5 (2)' query in the workbook." type="5" refreshedVersion="8" background="1" saveData="1">
    <dbPr connection="Provider=Microsoft.Mashup.OleDb.1;Data Source=$Workbook$;Location=&quot;output_values_1 5 (2)&quot;;Extended Properties=&quot;&quot;" command="SELECT * FROM [output_values_1 5 (2)]"/>
  </connection>
  <connection id="13" xr16:uid="{2C17F7E0-6F22-4735-87DD-1E85661B1365}" keepAlive="1" name="Query - output_values_2 0" description="Connection to the 'output_values_2 0' query in the workbook." type="5" refreshedVersion="0" background="1">
    <dbPr connection="Provider=Microsoft.Mashup.OleDb.1;Data Source=$Workbook$;Location=&quot;output_values_2 0&quot;;Extended Properties=&quot;&quot;" command="SELECT * FROM [output_values_2 0]"/>
  </connection>
  <connection id="14" xr16:uid="{435BD00E-7347-4BFC-B0AE-ABC924A0E31B}" keepAlive="1" name="Query - output_values_2 0 (2)" description="Connection to the 'output_values_2 0 (2)' query in the workbook." type="5" refreshedVersion="8" background="1" saveData="1">
    <dbPr connection="Provider=Microsoft.Mashup.OleDb.1;Data Source=$Workbook$;Location=&quot;output_values_2 0 (2)&quot;;Extended Properties=&quot;&quot;" command="SELECT * FROM [output_values_2 0 (2)]"/>
  </connection>
</connections>
</file>

<file path=xl/sharedStrings.xml><?xml version="1.0" encoding="utf-8"?>
<sst xmlns="http://schemas.openxmlformats.org/spreadsheetml/2006/main" count="1194" uniqueCount="574">
  <si>
    <t/>
  </si>
  <si>
    <t>Skipped Cases:</t>
  </si>
  <si>
    <t>Line 8: params=[1.524</t>
  </si>
  <si>
    <t xml:space="preserve"> 29.64</t>
  </si>
  <si>
    <t xml:space="preserve"> 2.4</t>
  </si>
  <si>
    <t xml:space="preserve"> 3.14</t>
  </si>
  <si>
    <t xml:space="preserve"> 76.2</t>
  </si>
  <si>
    <t xml:space="preserve"> None</t>
  </si>
  <si>
    <t xml:space="preserve"> None]  ERROR: Target L_max=76.2 not within bounds implied by parameter interval [0.0001</t>
  </si>
  <si>
    <t xml:space="preserve"> 1.0]. Computed L_max range at bounds: [861</t>
  </si>
  <si>
    <t xml:space="preserve"> 1000].</t>
  </si>
  <si>
    <t>Line 12: params=[1.524</t>
  </si>
  <si>
    <t xml:space="preserve"> 0.123</t>
  </si>
  <si>
    <t xml:space="preserve"> 6.5</t>
  </si>
  <si>
    <t xml:space="preserve"> 42.672</t>
  </si>
  <si>
    <t xml:space="preserve"> None]  ERROR: Target L_max=42.672 not within bounds implied by parameter interval [0.0001</t>
  </si>
  <si>
    <t xml:space="preserve"> 1.0]. Computed L_max range at bounds: [0</t>
  </si>
  <si>
    <t xml:space="preserve"> 18].</t>
  </si>
  <si>
    <t>Line 17: params=[2.286</t>
  </si>
  <si>
    <t xml:space="preserve"> 84.9</t>
  </si>
  <si>
    <t xml:space="preserve"> 8.2</t>
  </si>
  <si>
    <t xml:space="preserve"> 128.016</t>
  </si>
  <si>
    <t xml:space="preserve"> None]  ERROR: Target L_max=128.016 not within bounds implied by parameter interval [0.0001</t>
  </si>
  <si>
    <t xml:space="preserve"> 1.0]. Computed L_max range at bounds: [778</t>
  </si>
  <si>
    <t>Line 19: params=[4.572</t>
  </si>
  <si>
    <t xml:space="preserve"> 49.3</t>
  </si>
  <si>
    <t xml:space="preserve"> 7.5</t>
  </si>
  <si>
    <t xml:space="preserve"> 192.024</t>
  </si>
  <si>
    <t xml:space="preserve"> None]  ERROR: Target L_max=192.024 not within bounds implied by parameter interval [0.0001</t>
  </si>
  <si>
    <t xml:space="preserve"> 1.0]. Computed L_max range at bounds: [527</t>
  </si>
  <si>
    <t>Line 20: params=[1.524</t>
  </si>
  <si>
    <t xml:space="preserve"> 90.21</t>
  </si>
  <si>
    <t xml:space="preserve"> 6.8</t>
  </si>
  <si>
    <t xml:space="preserve"> 60.96</t>
  </si>
  <si>
    <t xml:space="preserve"> None]  ERROR: Target L_max=60.96 not within bounds implied by parameter interval [0.0001</t>
  </si>
  <si>
    <t xml:space="preserve"> 1.0]. Computed L_max range at bounds: [991</t>
  </si>
  <si>
    <t>Line 25: params=[1.524</t>
  </si>
  <si>
    <t xml:space="preserve"> 0.0719</t>
  </si>
  <si>
    <t xml:space="preserve"> 8.4</t>
  </si>
  <si>
    <t xml:space="preserve"> 67.056</t>
  </si>
  <si>
    <t xml:space="preserve"> None]  ERROR: Target L_max=67.056 not within bounds implied by parameter interval [0.0001</t>
  </si>
  <si>
    <t xml:space="preserve"> 12].</t>
  </si>
  <si>
    <t>Line 26: params=[4.2672</t>
  </si>
  <si>
    <t xml:space="preserve"> 25.4</t>
  </si>
  <si>
    <t xml:space="preserve"> 5.5</t>
  </si>
  <si>
    <t xml:space="preserve"> 71.3232</t>
  </si>
  <si>
    <t xml:space="preserve"> None]  ERROR: Target L_max=71.3232 not within bounds implied by parameter interval [0.0001</t>
  </si>
  <si>
    <t xml:space="preserve"> 1.0]. Computed L_max range at bounds: [254</t>
  </si>
  <si>
    <t>Line 28: params=[1.0668</t>
  </si>
  <si>
    <t xml:space="preserve"> 5.375</t>
  </si>
  <si>
    <t xml:space="preserve"> 457.2</t>
  </si>
  <si>
    <t xml:space="preserve"> None]  ERROR: Target L_max=457.2 not within bounds implied by parameter interval [0.0001</t>
  </si>
  <si>
    <t xml:space="preserve"> 1.0]. Computed L_max range at bounds: [6</t>
  </si>
  <si>
    <t xml:space="preserve"> 412].</t>
  </si>
  <si>
    <t>Line 29: params=[1.0668</t>
  </si>
  <si>
    <t xml:space="preserve"> 3.57</t>
  </si>
  <si>
    <t xml:space="preserve"> 0.0</t>
  </si>
  <si>
    <t xml:space="preserve"> 57.3024</t>
  </si>
  <si>
    <t xml:space="preserve"> None]  ERROR: Could not compute a valid L_max when scanning up from lower bound 0.0001 up to 1.0 for parameter alpha_t.</t>
  </si>
  <si>
    <t>Line 32: params=[3.05</t>
  </si>
  <si>
    <t xml:space="preserve"> 2.84</t>
  </si>
  <si>
    <t xml:space="preserve"> 0.6</t>
  </si>
  <si>
    <t xml:space="preserve"> 168.0</t>
  </si>
  <si>
    <t xml:space="preserve"> None]  ERROR: Target L_max=168.0 not within bounds implied by parameter interval [0.0001</t>
  </si>
  <si>
    <t xml:space="preserve"> 1.0]. Computed L_max range at bounds: [209</t>
  </si>
  <si>
    <t>Line 33: params=[0.305</t>
  </si>
  <si>
    <t xml:space="preserve"> 5.48</t>
  </si>
  <si>
    <t xml:space="preserve"> 7.4</t>
  </si>
  <si>
    <t xml:space="preserve"> 107.0</t>
  </si>
  <si>
    <t xml:space="preserve"> None]  ERROR: Target L_max=107.0 not within bounds implied by parameter interval [0.0001</t>
  </si>
  <si>
    <t xml:space="preserve"> 42].</t>
  </si>
  <si>
    <t>Line 37: params=[7.62</t>
  </si>
  <si>
    <t xml:space="preserve"> 6.01</t>
  </si>
  <si>
    <t xml:space="preserve"> 10.0</t>
  </si>
  <si>
    <t xml:space="preserve"> 853.0</t>
  </si>
  <si>
    <t xml:space="preserve"> None]  ERROR: Target L_max=853.0 not within bounds implied by parameter interval [0.0001</t>
  </si>
  <si>
    <t xml:space="preserve"> 1.0]. Computed L_max range at bounds: [13</t>
  </si>
  <si>
    <t xml:space="preserve"> 444].</t>
  </si>
  <si>
    <t>Line 44: params=[6.0</t>
  </si>
  <si>
    <t xml:space="preserve"> 0.07</t>
  </si>
  <si>
    <t xml:space="preserve"> 1.0</t>
  </si>
  <si>
    <t xml:space="preserve"> 3.17</t>
  </si>
  <si>
    <t xml:space="preserve"> 140.0</t>
  </si>
  <si>
    <t xml:space="preserve"> None]  ERROR: Target L_max=140.0 not within bounds implied by parameter interval [0.0001</t>
  </si>
  <si>
    <t xml:space="preserve"> 1.0]. Computed L_max range at bounds: [1</t>
  </si>
  <si>
    <t xml:space="preserve"> 32].</t>
  </si>
  <si>
    <t>Line 45: params=[6.0</t>
  </si>
  <si>
    <t xml:space="preserve"> 0.04</t>
  </si>
  <si>
    <t xml:space="preserve"> 3.13</t>
  </si>
  <si>
    <t xml:space="preserve"> 90.0</t>
  </si>
  <si>
    <t xml:space="preserve"> None]  ERROR: Target L_max=90.0 not within bounds implied by parameter interval [0.0001</t>
  </si>
  <si>
    <t xml:space="preserve"> 22].</t>
  </si>
  <si>
    <t>Line 53: params=[1.0</t>
  </si>
  <si>
    <t xml:space="preserve"> 0.01</t>
  </si>
  <si>
    <t xml:space="preserve"> 120.0</t>
  </si>
  <si>
    <t xml:space="preserve"> None]  ERROR: Target L_max=120.0 not within bounds implied by parameter interval [0.0001</t>
  </si>
  <si>
    <t xml:space="preserve"> 1].</t>
  </si>
  <si>
    <t>Line 54: params=[5.5</t>
  </si>
  <si>
    <t xml:space="preserve"> 33.0</t>
  </si>
  <si>
    <t xml:space="preserve"> 250.0</t>
  </si>
  <si>
    <t xml:space="preserve"> None]  ERROR: Target L_max=250.0 not within bounds implied by parameter interval [0.0001</t>
  </si>
  <si>
    <t xml:space="preserve"> 1.0]. Computed L_max range at bounds: [285</t>
  </si>
  <si>
    <t>Line 57: params=[5.0</t>
  </si>
  <si>
    <t xml:space="preserve"> 4.0</t>
  </si>
  <si>
    <t xml:space="preserve"> 3.08</t>
  </si>
  <si>
    <t xml:space="preserve"> 100.0</t>
  </si>
  <si>
    <t xml:space="preserve"> None]  ERROR: Target L_max=100.0 not within bounds implied by parameter interval [0.0001</t>
  </si>
  <si>
    <t xml:space="preserve"> 3].</t>
  </si>
  <si>
    <t>Line 58: params=[0.675</t>
  </si>
  <si>
    <t xml:space="preserve"> 0.28</t>
  </si>
  <si>
    <t xml:space="preserve"> 420.0</t>
  </si>
  <si>
    <t xml:space="preserve"> None]  ERROR: Target L_max=420.0 not within bounds implied by parameter interval [0.0001</t>
  </si>
  <si>
    <t xml:space="preserve"> 6].</t>
  </si>
  <si>
    <t>Line 59: params=[1.15</t>
  </si>
  <si>
    <t xml:space="preserve"> 0.017</t>
  </si>
  <si>
    <t xml:space="preserve"> 3.2</t>
  </si>
  <si>
    <t xml:space="preserve"> 450.0</t>
  </si>
  <si>
    <t xml:space="preserve"> None]  ERROR: Target L_max=450.0 not within bounds implied by parameter interval [0.0001</t>
  </si>
  <si>
    <t xml:space="preserve"> 5].</t>
  </si>
  <si>
    <t>Line 60: params=[1.875</t>
  </si>
  <si>
    <t xml:space="preserve"> 0.0004</t>
  </si>
  <si>
    <t xml:space="preserve"> 1.29</t>
  </si>
  <si>
    <t>Line 61: params=[1.5</t>
  </si>
  <si>
    <t xml:space="preserve"> 8.9</t>
  </si>
  <si>
    <t xml:space="preserve"> 0.99</t>
  </si>
  <si>
    <t xml:space="preserve"> 1.0]. Computed L_max range at bounds: [459</t>
  </si>
  <si>
    <t>Line 3: params=[3.048</t>
  </si>
  <si>
    <t xml:space="preserve"> 0.45</t>
  </si>
  <si>
    <t xml:space="preserve"> 0.8</t>
  </si>
  <si>
    <t xml:space="preserve"> 914.4</t>
  </si>
  <si>
    <t xml:space="preserve"> None]  ERROR: Target L_max=914.4 not within bounds implied by parameter interval [0.0001</t>
  </si>
  <si>
    <t xml:space="preserve"> 1.0]. Computed L_max range at bounds: [11</t>
  </si>
  <si>
    <t xml:space="preserve"> 405].</t>
  </si>
  <si>
    <t>Line 4: params=[3.048</t>
  </si>
  <si>
    <t xml:space="preserve"> 43.28</t>
  </si>
  <si>
    <t xml:space="preserve"> 12.6</t>
  </si>
  <si>
    <t xml:space="preserve"> 213.36</t>
  </si>
  <si>
    <t xml:space="preserve"> None]  ERROR: Target L_max=213.36 not within bounds implied by parameter interval [0.0001</t>
  </si>
  <si>
    <t xml:space="preserve"> 1.0]. Computed L_max range at bounds: [237</t>
  </si>
  <si>
    <t>Line 7: params=[2.286</t>
  </si>
  <si>
    <t xml:space="preserve"> 14.1</t>
  </si>
  <si>
    <t xml:space="preserve"> 3.7</t>
  </si>
  <si>
    <t xml:space="preserve"> 146.304</t>
  </si>
  <si>
    <t xml:space="preserve"> None]  ERROR: Target L_max=146.304 not within bounds implied by parameter interval [0.0001</t>
  </si>
  <si>
    <t xml:space="preserve"> 1.0]. Computed L_max range at bounds: [226</t>
  </si>
  <si>
    <t>Line 21: params=[2.286</t>
  </si>
  <si>
    <t xml:space="preserve"> 0.469</t>
  </si>
  <si>
    <t xml:space="preserve"> 11.2</t>
  </si>
  <si>
    <t xml:space="preserve"> 21].</t>
  </si>
  <si>
    <t xml:space="preserve"> 1.0]. Computed L_max range at bounds: [558</t>
  </si>
  <si>
    <t>Line 27: params=[2.1336</t>
  </si>
  <si>
    <t xml:space="preserve"> 1.504</t>
  </si>
  <si>
    <t xml:space="preserve"> 396.24</t>
  </si>
  <si>
    <t xml:space="preserve"> None]  ERROR: Target L_max=396.24 not within bounds implied by parameter interval [0.0001</t>
  </si>
  <si>
    <t xml:space="preserve"> 1.0]. Computed L_max range at bounds: [10</t>
  </si>
  <si>
    <t xml:space="preserve"> 253].</t>
  </si>
  <si>
    <t xml:space="preserve"> 1.0]. Computed L_max range at bounds: [433</t>
  </si>
  <si>
    <t>Line 40: params=[8.38</t>
  </si>
  <si>
    <t xml:space="preserve"> 32.56</t>
  </si>
  <si>
    <t xml:space="preserve"> 9.82</t>
  </si>
  <si>
    <t xml:space="preserve"> 244.0</t>
  </si>
  <si>
    <t xml:space="preserve"> None]  ERROR: Target L_max=244.0 not within bounds implied by parameter interval [0.0001</t>
  </si>
  <si>
    <t xml:space="preserve"> 1.0]. Computed L_max range at bounds: [607</t>
  </si>
  <si>
    <t xml:space="preserve"> 16].</t>
  </si>
  <si>
    <t xml:space="preserve"> 1.0]. Computed L_max range at bounds: [670</t>
  </si>
  <si>
    <t xml:space="preserve"> 29].</t>
  </si>
  <si>
    <t xml:space="preserve"> 31].</t>
  </si>
  <si>
    <t xml:space="preserve"> 37].</t>
  </si>
  <si>
    <t xml:space="preserve"> 0].</t>
  </si>
  <si>
    <t xml:space="preserve"> 1.0]. Computed L_max range at bounds: [830</t>
  </si>
  <si>
    <t>Line 2: params=[1.524</t>
  </si>
  <si>
    <t xml:space="preserve"> 28.0</t>
  </si>
  <si>
    <t xml:space="preserve"> 7.1</t>
  </si>
  <si>
    <t xml:space="preserve"> 228.6</t>
  </si>
  <si>
    <t xml:space="preserve"> None]  ERROR: Target L_max=228.6 not within bounds implied by parameter interval [0.0001</t>
  </si>
  <si>
    <t xml:space="preserve"> 1.0]. Computed L_max range at bounds: [306</t>
  </si>
  <si>
    <t xml:space="preserve"> 1.0]. Computed L_max range at bounds: [462</t>
  </si>
  <si>
    <t xml:space="preserve"> 999].</t>
  </si>
  <si>
    <t xml:space="preserve"> 1.0]. Computed L_max range at bounds: [422</t>
  </si>
  <si>
    <t>Line 16: params=[3.048</t>
  </si>
  <si>
    <t xml:space="preserve"> 13.118</t>
  </si>
  <si>
    <t xml:space="preserve"> 9.3</t>
  </si>
  <si>
    <t xml:space="preserve"> 53.34</t>
  </si>
  <si>
    <t xml:space="preserve"> None]  ERROR: Target L_max=53.34 not within bounds implied by parameter interval [0.0001</t>
  </si>
  <si>
    <t xml:space="preserve"> 1.0]. Computed L_max range at bounds: [96</t>
  </si>
  <si>
    <t>Line 22: params=[2.286</t>
  </si>
  <si>
    <t xml:space="preserve"> 20.95</t>
  </si>
  <si>
    <t xml:space="preserve"> 8.52</t>
  </si>
  <si>
    <t xml:space="preserve"> 106.68</t>
  </si>
  <si>
    <t xml:space="preserve"> None]  ERROR: Target L_max=106.68 not within bounds implied by parameter interval [0.0001</t>
  </si>
  <si>
    <t xml:space="preserve"> 1.0]. Computed L_max range at bounds: [190</t>
  </si>
  <si>
    <t xml:space="preserve"> 15].</t>
  </si>
  <si>
    <t>Line 31: params=[4.57</t>
  </si>
  <si>
    <t xml:space="preserve"> 9.23</t>
  </si>
  <si>
    <t xml:space="preserve"> 2.8</t>
  </si>
  <si>
    <t xml:space="preserve"> 366.0</t>
  </si>
  <si>
    <t xml:space="preserve"> None]  ERROR: Target L_max=366.0 not within bounds implied by parameter interval [0.0001</t>
  </si>
  <si>
    <t xml:space="preserve"> 1.0]. Computed L_max range at bounds: [676</t>
  </si>
  <si>
    <t xml:space="preserve"> 1.0]. Computed L_max range at bounds: [848</t>
  </si>
  <si>
    <t>Line 46: params=[6.0</t>
  </si>
  <si>
    <t xml:space="preserve"> 1.3</t>
  </si>
  <si>
    <t xml:space="preserve"> 1.0]. Computed L_max range at bounds: [186</t>
  </si>
  <si>
    <t>Line 47: params=[6.0</t>
  </si>
  <si>
    <t xml:space="preserve"> 2.0</t>
  </si>
  <si>
    <t xml:space="preserve"> 1.0]. Computed L_max range at bounds: [163</t>
  </si>
  <si>
    <t>Line 48: params=[6.0</t>
  </si>
  <si>
    <t xml:space="preserve"> 1.4</t>
  </si>
  <si>
    <t xml:space="preserve"> 60.0</t>
  </si>
  <si>
    <t xml:space="preserve"> None]  ERROR: Target L_max=60.0 not within bounds implied by parameter interval [0.0001</t>
  </si>
  <si>
    <t xml:space="preserve"> 1.0]. Computed L_max range at bounds: [71</t>
  </si>
  <si>
    <t>Line 50: params=[50.0</t>
  </si>
  <si>
    <t xml:space="preserve"> 0.25</t>
  </si>
  <si>
    <t xml:space="preserve"> 150.0</t>
  </si>
  <si>
    <t xml:space="preserve"> None]  ERROR: Target L_max=150.0 not within bounds implied by parameter interval [0.0001</t>
  </si>
  <si>
    <t xml:space="preserve"> 1.0]. Computed L_max range at bounds: [31</t>
  </si>
  <si>
    <t xml:space="preserve"> 85].</t>
  </si>
  <si>
    <t>Line 51: params=[50.0</t>
  </si>
  <si>
    <t xml:space="preserve"> 0.4</t>
  </si>
  <si>
    <t xml:space="preserve"> 2].</t>
  </si>
  <si>
    <t xml:space="preserve"> 116].</t>
  </si>
  <si>
    <t xml:space="preserve"> 7].</t>
  </si>
  <si>
    <t>Line 2: params=[1.524, 28.0, 7.1, 3.14, 228.6, None, None]  ERROR: Target L_max=228.6 not within bounds implied by parameter interval [0.0001, 1.0]. Computed L_max range at bounds: [450, 1000].</t>
  </si>
  <si>
    <t>Line 4: params=[3.048, 43.28, 12.6, 3.14, 213.36, None, None]  ERROR: Target L_max=213.36 not within bounds implied by parameter interval [0.0001, 1.0]. Computed L_max range at bounds: [734, 1000].</t>
  </si>
  <si>
    <t>Line 6: params=[3.81, 4.03, 3.8, 3.14, 91.44, None, None]  ERROR: Target L_max=91.44 not within bounds implied by parameter interval [0.0001, 1.0]. Computed L_max range at bounds: [124, 1000].</t>
  </si>
  <si>
    <t>Line 7: params=[2.286, 14.1, 3.7, 3.14, 146.304, None, None]  ERROR: Target L_max=146.304 not within bounds implied by parameter interval [0.0001, 1.0]. Computed L_max range at bounds: [634, 1000].</t>
  </si>
  <si>
    <t>Line 10: params=[5.334, 18.27, 1.9, 3.14, 350.52, None, None]  ERROR: Target L_max=350.52 not within bounds implied by parameter interval [0.0001, 1.0]. Computed L_max range at bounds: [0, 230].</t>
  </si>
  <si>
    <t>Line 13: params=[1.524, 12.84, 6.5, 3.14, 109.728, None, None]  ERROR: Target L_max=109.728 not within bounds implied by parameter interval [0.0001, 1.0]. Computed L_max range at bounds: [129, 1000].</t>
  </si>
  <si>
    <t>Line 16: params=[3.048, 13.118, 9.3, 3.14, 53.34, None, None]  ERROR: Target L_max=53.34 not within bounds implied by parameter interval [0.0001, 1.0]. Computed L_max range at bounds: [153, 1000].</t>
  </si>
  <si>
    <t>Line 22: params=[2.286, 20.95, 8.52, 3.14, 106.68, None, None]  ERROR: Target L_max=106.68 not within bounds implied by parameter interval [0.0001, 1.0]. Computed L_max range at bounds: [285, 1000].</t>
  </si>
  <si>
    <t>Line 23: params=[11.0, 4.246, 7.9, 3.14, 420.0, None, None]  ERROR: Target L_max=420.0 not within bounds implied by parameter interval [0.0001, 1.0]. Computed L_max range at bounds: [75, 170].</t>
  </si>
  <si>
    <t>Line 25: params=[1.524, 0.0719, 8.4, 3.14, 67.056, None, None]  ERROR: Target L_max=67.056 not within bounds implied by parameter interval [0.0001, 1.0]. Computed L_max range at bounds: [1, 35].</t>
  </si>
  <si>
    <t>Line 29: params=[1.0668, 3.57, 0.0, 3.14, 57.3024, None, None]  ERROR: Could not compute a valid L_max when scanning up from lower bound 0.0001 up to 1.0 for parameter alpha_t.</t>
  </si>
  <si>
    <t>Line 36: params=[4.57, 3.23, 0.1, 3.14, 198.0, None, None]  ERROR: Target L_max=198.0 not within bounds implied by parameter interval [0.0001, 1.0]. Computed L_max range at bounds: [13, 175].</t>
  </si>
  <si>
    <t>Line 37: params=[7.62, 6.01, 10.0, 3.14, 853.0, None, None]  ERROR: Target L_max=853.0 not within bounds implied by parameter interval [0.0001, 1.0]. Computed L_max range at bounds: [131, 352].</t>
  </si>
  <si>
    <t>Line 39: params=[1.22, 13.8, 7.6, 3.14, 64.0, None, None]  ERROR: Target L_max=64.0 not within bounds implied by parameter interval [0.0001, 1.0]. Computed L_max range at bounds: [90, 1000].</t>
  </si>
  <si>
    <t>Line 40: params=[8.38, 32.56, 9.82, 3.14, 244.0, None, None]  ERROR: Target L_max=244.0 not within bounds implied by parameter interval [0.0001, 1.0]. Computed L_max range at bounds: [11, 65].</t>
  </si>
  <si>
    <t>Line 46: params=[6.0, 1.3, 1.0, 3.17, 120.0, None, None]  ERROR: Target L_max=120.0 not within bounds implied by parameter interval [0.0001, 1.0]. Computed L_max range at bounds: [313, 579].</t>
  </si>
  <si>
    <t>Line 47: params=[6.0, 2.4, 2.0, 3.17, 90.0, None, None]  ERROR: Target L_max=90.0 not within bounds implied by parameter interval [0.0001, 1.0]. Computed L_max range at bounds: [275, 618].</t>
  </si>
  <si>
    <t>Line 48: params=[6.0, 1.4, 2.0, 3.17, 60.0, None, None]  ERROR: Target L_max=60.0 not within bounds implied by parameter interval [0.0001, 1.0]. Computed L_max range at bounds: [120, 1000].</t>
  </si>
  <si>
    <t>Line 50: params=[50.0, 0.25, 1.0, 3.08, 150.0, None, None]  ERROR: Target L_max=150.0 not within bounds implied by parameter interval [0.0001, 1.0]. Computed L_max range at bounds: [39, 40].</t>
  </si>
  <si>
    <t>Line 51: params=[50.0, 0.4, 1.0, 3.17, 100.0, None, None]  ERROR: Target L_max=100.0 not within bounds implied by parameter interval [0.0001, 1.0]. Computed L_max range at bounds: [39, 40].</t>
  </si>
  <si>
    <t>Line 53: params=[1.0, 0.01, 7.5, 3.14, 120.0, None, None]  ERROR: Target L_max=120.0 not within bounds implied by parameter interval [0.0001, 1.0]. Computed L_max range at bounds: [0, 6].</t>
  </si>
  <si>
    <t>Line 56: params=[3.0, 230.0, 0.6, 3.14, 500.0, None, None]  ERROR: Target L_max=500.0 not within bounds implied by parameter interval [0.0001, 1.0]. Computed L_max range at bounds: [5, 345].</t>
  </si>
  <si>
    <t>Line 58: params=[0.675, 0.01, 0.28, 3.08, 420.0, None, None]  ERROR: Target L_max=420.0 not within bounds implied by parameter interval [0.0001, 1.0]. Computed L_max range at bounds: [0, 15].</t>
  </si>
  <si>
    <t>Line 59: params=[1.15, 0.017, 3.2, 3.08, 450.0, None, None]  ERROR: Target L_max=450.0 not within bounds implied by parameter interval [0.0001, 1.0]. Computed L_max range at bounds: [0, 16].</t>
  </si>
  <si>
    <t>Line 60: params=[1.875, 0.0004, 1.29, 3.08, 140.0, None, None]  ERROR: Target L_max=140.0 not within bounds implied by parameter interval [0.0001, 1.0]. Computed L_max range at bounds: [1, 37].</t>
  </si>
  <si>
    <t>Line 2: params=[1.524, 28.0, 7.1, 3.14, 228.6, None, None]  ERROR: Target L_max=228.6 not within bounds implied by parameter interval [0.0001, 1.0]. Computed L_max range at bounds: [597, 1000].</t>
  </si>
  <si>
    <t>Line 4: params=[3.048, 43.28, 12.6, 3.14, 213.36, None, None]  ERROR: Target L_max=213.36 not within bounds implied by parameter interval [0.0001, 1.0]. Computed L_max range at bounds: [1000, 1000].</t>
  </si>
  <si>
    <t>Line 6: params=[3.81, 4.03, 3.8, 3.14, 91.44, None, None]  ERROR: Target L_max=91.44 not within bounds implied by parameter interval [0.0001, 1.0]. Computed L_max range at bounds: [174, 1000].</t>
  </si>
  <si>
    <t>Line 7: params=[2.286, 14.1, 3.7, 3.14, 146.304, None, None]  ERROR: Target L_max=146.304 not within bounds implied by parameter interval [0.0001, 1.0]. Computed L_max range at bounds: [889, 1000].</t>
  </si>
  <si>
    <t>Line 10: params=[5.334, 18.27, 1.9, 3.14, 350.52, None, None]  ERROR: Target L_max=350.52 not within bounds implied by parameter interval [0.0001, 1.0]. Computed L_max range at bounds: [9, 80].</t>
  </si>
  <si>
    <t>Line 13: params=[1.524, 12.84, 6.5, 3.14, 109.728, None, None]  ERROR: Target L_max=109.728 not within bounds implied by parameter interval [0.0001, 1.0]. Computed L_max range at bounds: [171, 1000].</t>
  </si>
  <si>
    <t>Line 15: params=[1.524, 13.8, 9.0, 3.14, 96.012, None, None]  ERROR: Target L_max=96.012 not within bounds implied by parameter interval [0.0001, 1.0]. Computed L_max range at bounds: [111, 1000].</t>
  </si>
  <si>
    <t>Line 16: params=[3.048, 13.118, 9.3, 3.14, 53.34, None, None]  ERROR: Target L_max=53.34 not within bounds implied by parameter interval [0.0001, 1.0]. Computed L_max range at bounds: [212, 1000].</t>
  </si>
  <si>
    <t>Line 18: params=[3.81, 22.9, 8.3, 3.14, 914.4, None, None]  ERROR: Target L_max=914.4 not within bounds implied by parameter interval [0.0001, 1.0]. Computed L_max range at bounds: [504, 886].</t>
  </si>
  <si>
    <t>Line 22: params=[2.286, 20.95, 8.52, 3.14, 106.68, None, None]  ERROR: Target L_max=106.68 not within bounds implied by parameter interval [0.0001, 1.0]. Computed L_max range at bounds: [400, 1000].</t>
  </si>
  <si>
    <t>Line 31: params=[4.57, 9.23, 2.8, 3.14, 366.0, None, None]  ERROR: Target L_max=366.0 not within bounds implied by parameter interval [0.0001, 1.0]. Computed L_max range at bounds: [0, 308].</t>
  </si>
  <si>
    <t>Line 35: params=[5.335, 18.27, 1.9, 3.14, 229.0, None, None]  ERROR: Target L_max=229.0 not within bounds implied by parameter interval [0.0001, 1.0]. Computed L_max range at bounds: [9, 80].</t>
  </si>
  <si>
    <t>Line 36: params=[4.57, 3.23, 0.1, 3.14, 198.0, None, None]  ERROR: Target L_max=198.0 not within bounds implied by parameter interval [0.0001, 1.0]. Computed L_max range at bounds: [6, 115].</t>
  </si>
  <si>
    <t>Line 37: params=[7.62, 6.01, 10.0, 3.14, 853.0, None, None]  ERROR: Target L_max=853.0 not within bounds implied by parameter interval [0.0001, 1.0]. Computed L_max range at bounds: [100, 174].</t>
  </si>
  <si>
    <t>Line 39: params=[1.22, 13.8, 7.6, 3.14, 64.0, None, None]  ERROR: Target L_max=64.0 not within bounds implied by parameter interval [0.0001, 1.0]. Computed L_max range at bounds: [117, 1000].</t>
  </si>
  <si>
    <t>Line 40: params=[8.38, 32.56, 9.82, 3.14, 244.0, None, None]  ERROR: Target L_max=244.0 not within bounds implied by parameter interval [0.0001, 1.0]. Computed L_max range at bounds: [12, 25].</t>
  </si>
  <si>
    <t>Line 41: params=[4.57, 15.6, 10.43, 3.14, 549.0, None, None]  ERROR: Target L_max=549.0 not within bounds implied by parameter interval [0.0001, 1.0]. Computed L_max range at bounds: [400, 506].</t>
  </si>
  <si>
    <t>Line 42: params=[3.05, 9.23, 7.7, 3.14, 152.0, None, None]  ERROR: Target L_max=152.0 not within bounds implied by parameter interval [0.0001, 1.0]. Computed L_max range at bounds: [165, 1000].</t>
  </si>
  <si>
    <t>Line 46: params=[6.0, 1.3, 1.0, 3.17, 120.0, None, None]  ERROR: Target L_max=120.0 not within bounds implied by parameter interval [0.0001, 1.0]. Computed L_max range at bounds: [183, 472].</t>
  </si>
  <si>
    <t>Line 47: params=[6.0, 2.4, 2.0, 3.17, 90.0, None, None]  ERROR: Target L_max=90.0 not within bounds implied by parameter interval [0.0001, 1.0]. Computed L_max range at bounds: [192, 414].</t>
  </si>
  <si>
    <t>Line 48: params=[6.0, 1.4, 2.0, 3.17, 60.0, None, None]  ERROR: Target L_max=60.0 not within bounds implied by parameter interval [0.0001, 1.0]. Computed L_max range at bounds: [181, 269].</t>
  </si>
  <si>
    <t>Line 50: params=[50.0, 0.25, 1.0, 3.08, 150.0, None, None]  ERROR: Could not compute a valid L_max when scanning up from lower bound 0.0001 up to 1.0 for parameter alpha_t.</t>
  </si>
  <si>
    <t>Line 51: params=[50.0, 0.4, 1.0, 3.17, 100.0, None, None]  ERROR: Could not compute a valid L_max when scanning up from lower bound 0.0001 up to 1.0 for parameter alpha_t.</t>
  </si>
  <si>
    <t>Line 53: params=[1.0, 0.01, 7.5, 3.14, 120.0, None, None]  ERROR: Target L_max=120.0 not within bounds implied by parameter interval [0.0001, 1.0]. Computed L_max range at bounds: [1, 13].</t>
  </si>
  <si>
    <t>Line 54: params=[5.5, 33.0, 7.5, 3.14, 250.0, None, None]  ERROR: Target L_max=250.0 not within bounds implied by parameter interval [0.0001, 1.0]. Computed L_max range at bounds: [16, 115].</t>
  </si>
  <si>
    <t>Line 55: params=[3.7, 123.0, 1.6, 3.08, 200.0, None, None]  ERROR: Target L_max=200.0 not within bounds implied by parameter interval [0.0001, 1.0]. Computed L_max range at bounds: [6, 122].</t>
  </si>
  <si>
    <t>Line 56: params=[3.0, 230.0, 0.6, 3.14, 500.0, None, None]  ERROR: Target L_max=500.0 not within bounds implied by parameter interval [0.0001, 1.0]. Computed L_max range at bounds: [1, 277].</t>
  </si>
  <si>
    <t>Line 58: params=[0.675, 0.01, 0.28, 3.08, 420.0, None, None]  ERROR: Target L_max=420.0 not within bounds implied by parameter interval [0.0001, 1.0]. Computed L_max range at bounds: [1, 25].</t>
  </si>
  <si>
    <t>Line 59: params=[1.15, 0.017, 3.2, 3.08, 450.0, None, None]  ERROR: Target L_max=450.0 not within bounds implied by parameter interval [0.0001, 1.0]. Computed L_max range at bounds: [1, 29].</t>
  </si>
  <si>
    <t>Line 1: params=[4.572, 3.55, 6.9, 3.14, 274.32, None, None]  ERROR: Target L_max=274.32 not within bounds implied by parameter interval [0.0001, 1.0]. Computed L_max range at bounds: [131, 162].</t>
  </si>
  <si>
    <t>Line 2: params=[1.524, 28.0, 7.1, 3.14, 228.6, None, None]  ERROR: Target L_max=228.6 not within bounds implied by parameter interval [0.0001, 1.0]. Computed L_max range at bounds: [947, 1000].</t>
  </si>
  <si>
    <t>Line 6: params=[3.81, 4.03, 3.8, 3.14, 91.44, None, None]  ERROR: Target L_max=91.44 not within bounds implied by parameter interval [0.0001, 1.0]. Computed L_max range at bounds: [243, 305].</t>
  </si>
  <si>
    <t>Line 10: params=[5.334, 18.27, 1.9, 3.14, 350.52, None, None]  ERROR: Could not compute a valid L_max when scanning down from upper bound 1.0 down to 0.0001 for parameter alpha_t.</t>
  </si>
  <si>
    <t>Line 13: params=[1.524, 12.84, 6.5, 3.14, 109.728, None, None]  ERROR: Target L_max=109.728 not within bounds implied by parameter interval [0.0001, 1.0]. Computed L_max range at bounds: [272, 1000].</t>
  </si>
  <si>
    <t>Line 14: params=[3.81, 8.18, 8.6, 3.14, 219.456, None, None]  ERROR: Target L_max=219.456 not within bounds implied by parameter interval [0.0001, 1.0]. Computed L_max range at bounds: [257, 260].</t>
  </si>
  <si>
    <t>Line 15: params=[1.524, 13.8, 9.0, 3.14, 96.012, None, None]  ERROR: Target L_max=96.012 not within bounds implied by parameter interval [0.0001, 1.0]. Computed L_max range at bounds: [176, 1000].</t>
  </si>
  <si>
    <t>Line 16: params=[3.048, 13.118, 9.3, 3.14, 53.34, None, None]  ERROR: Target L_max=53.34 not within bounds implied by parameter interval [0.0001, 1.0]. Computed L_max range at bounds: [368, 528].</t>
  </si>
  <si>
    <t>Line 18: params=[3.81, 22.9, 8.3, 3.14, 914.4, None, None]  ERROR: Target L_max=914.4 not within bounds implied by parameter interval [0.0001, 1.0]. Computed L_max range at bounds: [0, 136].</t>
  </si>
  <si>
    <t>Line 19: params=[4.572, 49.3, 7.5, 3.14, 192.024, None, None]  ERROR: Target L_max=192.024 not within bounds implied by parameter interval [0.0001, 1.0]. Computed L_max range at bounds: [1, 25].</t>
  </si>
  <si>
    <t>Line 22: params=[2.286, 20.95, 8.52, 3.14, 106.68, None, None]  ERROR: Target L_max=106.68 not within bounds implied by parameter interval [0.0001, 1.0]. Computed L_max range at bounds: [638, 683].</t>
  </si>
  <si>
    <t>Line 23: params=[11.0, 4.246, 7.9, 3.14, 420.0, None, None]  ERROR: Target L_max=420.0 not within bounds implied by parameter interval [0.0001, 1.0]. Computed L_max range at bounds: [17, 18].</t>
  </si>
  <si>
    <t>Line 24: params=[3.048, 67.0, 3.7, 3.14, 207.264, None, None]  ERROR: Target L_max=207.264 not within bounds implied by parameter interval [0.0001, 1.0]. Computed L_max range at bounds: [10, 141].</t>
  </si>
  <si>
    <t>Line 26: params=[4.2672, 25.4, 5.5, 3.14, 71.3232, None, None]  ERROR: Target L_max=71.3232 not within bounds implied by parameter interval [0.0001, 1.0]. Computed L_max range at bounds: [7, 46].</t>
  </si>
  <si>
    <t>Line 31: params=[4.57, 9.23, 2.8, 3.14, 366.0, None, None]  ERROR: Target L_max=366.0 not within bounds implied by parameter interval [0.0001, 1.0]. Computed L_max range at bounds: [6, 43].</t>
  </si>
  <si>
    <t>Line 35: params=[5.335, 18.27, 1.9, 3.14, 229.0, None, None]  ERROR: Could not compute a valid L_max when scanning down from upper bound 1.0 down to 0.0001 for parameter alpha_t.</t>
  </si>
  <si>
    <t>Line 36: params=[4.57, 3.23, 0.1, 3.14, 198.0, None, None]  ERROR: Could not compute a valid L_max when scanning down from upper bound 1.0 down to 0.0001 for parameter alpha_t.</t>
  </si>
  <si>
    <t>Line 37: params=[7.62, 6.01, 10.0, 3.14, 853.0, None, None]  ERROR: Target L_max=853.0 not within bounds implied by parameter interval [0.0001, 1.0]. Computed L_max range at bounds: [34, 228].</t>
  </si>
  <si>
    <t>Line 39: params=[1.22, 13.8, 7.6, 3.14, 64.0, None, None]  ERROR: Target L_max=64.0 not within bounds implied by parameter interval [0.0001, 1.0]. Computed L_max range at bounds: [184, 1000].</t>
  </si>
  <si>
    <t>Line 40: params=[8.38, 32.56, 9.82, 3.14, 244.0, None, None]  ERROR: Target L_max=244.0 not within bounds implied by parameter interval [0.0001, 1.0]. Computed L_max range at bounds: [22, 33].</t>
  </si>
  <si>
    <t>Line 41: params=[4.57, 15.6, 10.43, 3.14, 549.0, None, None]  ERROR: unsupported operand type(s) for -: 'NoneType' and 'float'</t>
  </si>
  <si>
    <t>Line 42: params=[3.05, 9.23, 7.7, 3.14, 152.0, None, None]  ERROR: Target L_max=152.0 not within bounds implied by parameter interval [0.0001, 1.0]. Computed L_max range at bounds: [269, 599].</t>
  </si>
  <si>
    <t>Line 44: params=[6.0, 0.07, 1.0, 3.17, 140.0, None, None]  ERROR: Target L_max=140.0 not within bounds implied by parameter interval [0.0001, 1.0]. Computed L_max range at bounds: [36, 81].</t>
  </si>
  <si>
    <t>Line 46: params=[6.0, 1.3, 1.0, 3.17, 120.0, None, None]  ERROR: unsupported operand type(s) for -: 'NoneType' and 'float'</t>
  </si>
  <si>
    <t>Line 47: params=[6.0, 2.4, 2.0, 3.17, 90.0, None, None]  ERROR: unsupported operand type(s) for -: 'NoneType' and 'float'</t>
  </si>
  <si>
    <t>Line 48: params=[6.0, 1.4, 2.0, 3.17, 60.0, None, None]  ERROR: unsupported operand type(s) for -: 'NoneType' and 'float'</t>
  </si>
  <si>
    <t>Line 53: params=[1.0, 0.01, 7.5, 3.14, 120.0, None, None]  ERROR: Target L_max=120.0 not within bounds implied by parameter interval [0.0001, 1.0]. Computed L_max range at bounds: [1, 53].</t>
  </si>
  <si>
    <t>Line 54: params=[5.5, 33.0, 7.5, 3.14, 250.0, None, None]  ERROR: Target L_max=250.0 not within bounds implied by parameter interval [0.0001, 1.0]. Computed L_max range at bounds: [10, 25].</t>
  </si>
  <si>
    <t>Line 55: params=[3.7, 123.0, 1.6, 3.08, 200.0, None, None]  ERROR: Could not compute a valid L_max when scanning down from upper bound 1.0 down to 0.0001 for parameter alpha_t.</t>
  </si>
  <si>
    <t>Line 56: params=[3.0, 230.0, 0.6, 3.14, 500.0, None, None]  ERROR: Could not compute a valid L_max when scanning down from upper bound 1.0 down to 0.0001 for parameter alpha_t.</t>
  </si>
  <si>
    <t>Line 58: params=[0.675, 0.01, 0.28, 3.08, 420.0, None, None]  ERROR: Target L_max=420.0 not within bounds implied by parameter interval [0.0001, 1.0]. Computed L_max range at bounds: [1, 53].</t>
  </si>
  <si>
    <t>Line 59: params=[1.15, 0.017, 3.2, 3.08, 450.0, None, None]  ERROR: Target L_max=450.0 not within bounds implied by parameter interval [0.0001, 1.0]. Computed L_max range at bounds: [1, 116].</t>
  </si>
  <si>
    <t>Line 1: params=[4.572, 3.55, 6.9, 3.14, 274.32, None, None]  ERROR: Target L_max=274.32 not within bounds implied by parameter interval [0.0001, 1.0]. Computed L_max range at bounds: [48, 262].</t>
  </si>
  <si>
    <t>Line 3: params=[3.048, 0.45, 0.8, 3.14, 914.4, None, None]  ERROR: Target L_max=914.4 not within bounds implied by parameter interval [0.0001, 1.0]. Computed L_max range at bounds: [126, 297].</t>
  </si>
  <si>
    <t>Line 4: params=[3.048, 43.28, 12.6, 3.14, 213.36, None, None]  ERROR: Target L_max=213.36 not within bounds implied by parameter interval [0.0001, 1.0]. Computed L_max range at bounds: [13, 97].</t>
  </si>
  <si>
    <t>Line 6: params=[3.81, 4.03, 3.8, 3.14, 91.44, None, None]  ERROR: unsupported operand type(s) for -: 'NoneType' and 'float'</t>
  </si>
  <si>
    <t>Line 10: params=[5.334, 18.27, 1.9, 3.14, 350.52, None, None]  ERROR: Target L_max=350.52 not within bounds implied by parameter interval [0.0001, 1.0]. Computed L_max range at bounds: [12, 39].</t>
  </si>
  <si>
    <t>Line 13: params=[1.524, 12.84, 6.5, 3.14, 109.728, None, None]  ERROR: Target L_max=109.728 not within bounds implied by parameter interval [0.0001, 1.0]. Computed L_max range at bounds: [376, 1000].</t>
  </si>
  <si>
    <t>Line 15: params=[1.524, 13.8, 9.0, 3.14, 96.012, None, None]  ERROR: Target L_max=96.012 not within bounds implied by parameter interval [0.0001, 1.0]. Computed L_max range at bounds: [243, 1000].</t>
  </si>
  <si>
    <t>Line 16: params=[3.048, 13.118, 9.3, 3.14, 53.34, None, None]  ERROR: Target L_max=53.34 not within bounds implied by parameter interval [0.0001, 1.0]. Computed L_max range at bounds: [167, 511].</t>
  </si>
  <si>
    <t>Line 18: params=[3.81, 22.9, 8.3, 3.14, 914.4, None, None]  ERROR: Target L_max=914.4 not within bounds implied by parameter interval [0.0001, 1.0]. Computed L_max range at bounds: [1, 20].</t>
  </si>
  <si>
    <t>Line 19: params=[4.572, 49.3, 7.5, 3.14, 192.024, None, None]  ERROR: Target L_max=192.024 not within bounds implied by parameter interval [0.0001, 1.0]. Computed L_max range at bounds: [9, 25].</t>
  </si>
  <si>
    <t>Line 22: params=[2.286, 20.95, 8.52, 3.14, 106.68, None, None]  ERROR: Target L_max=106.68 not within bounds implied by parameter interval [0.0001, 1.0]. Computed L_max range at bounds: [364, 960].</t>
  </si>
  <si>
    <t>Line 23: params=[11.0, 4.246, 7.9, 3.14, 420.0, None, None]  ERROR: Target L_max=420.0 not within bounds implied by parameter interval [0.0001, 1.0]. Computed L_max range at bounds: [34, 41].</t>
  </si>
  <si>
    <t>Line 24: params=[3.048, 67.0, 3.7, 3.14, 207.264, None, None]  ERROR: Target L_max=207.264 not within bounds implied by parameter interval [0.0001, 1.0]. Computed L_max range at bounds: [0, 38].</t>
  </si>
  <si>
    <t>Line 26: params=[4.2672, 25.4, 5.5, 3.14, 71.3232, None, None]  ERROR: Target L_max=71.3232 not within bounds implied by parameter interval [0.0001, 1.0]. Computed L_max range at bounds: [14, 25].</t>
  </si>
  <si>
    <t>Line 31: params=[4.57, 9.23, 2.8, 3.14, 366.0, None, None]  ERROR: Target L_max=366.0 not within bounds implied by parameter interval [0.0001, 1.0]. Computed L_max range at bounds: [8, 26].</t>
  </si>
  <si>
    <t>Line 32: params=[3.05, 2.84, 0.6, 3.14, 168.0, None, None]  ERROR: Target L_max=168.0 not within bounds implied by parameter interval [0.0001, 1.0]. Computed L_max range at bounds: [9, 80].</t>
  </si>
  <si>
    <t>Line 35: params=[5.335, 18.27, 1.9, 3.14, 229.0, None, None]  ERROR: Target L_max=229.0 not within bounds implied by parameter interval [0.0001, 1.0]. Computed L_max range at bounds: [14, 39].</t>
  </si>
  <si>
    <t>Line 36: params=[4.57, 3.23, 0.1, 3.14, 198.0, None, None]  ERROR: Target L_max=198.0 not within bounds implied by parameter interval [0.0001, 1.0]. Computed L_max range at bounds: [23, 25].</t>
  </si>
  <si>
    <t>Line 37: params=[7.62, 6.01, 10.0, 3.14, 853.0, None, None]  ERROR: Target L_max=853.0 not within bounds implied by parameter interval [0.0001, 1.0]. Computed L_max range at bounds: [18, 34].</t>
  </si>
  <si>
    <t>Line 39: params=[1.22, 13.8, 7.6, 3.14, 64.0, None, None]  ERROR: Target L_max=64.0 not within bounds implied by parameter interval [0.0001, 1.0]. Computed L_max range at bounds: [247, 1000].</t>
  </si>
  <si>
    <t>Line 40: params=[8.38, 32.56, 9.82, 3.14, 244.0, None, None]  ERROR: Target L_max=244.0 not within bounds implied by parameter interval [0.0001, 1.0]. Computed L_max range at bounds: [14, 18].</t>
  </si>
  <si>
    <t>Line 41: params=[4.57, 15.6, 10.43, 3.14, 549.0, None, None]  ERROR: Target L_max=549.0 not within bounds implied by parameter interval [0.0001, 1.0]. Computed L_max range at bounds: [8, 28].</t>
  </si>
  <si>
    <t>Line 42: params=[3.05, 9.23, 7.7, 3.14, 152.0, None, None]  ERROR: Target L_max=152.0 not within bounds implied by parameter interval [0.0001, 1.0]. Computed L_max range at bounds: [184, 411].</t>
  </si>
  <si>
    <t>Line 46: params=[6.0, 1.3, 1.0, 3.17, 120.0, None, None]  ERROR: Target L_max=120.0 not within bounds implied by parameter interval [0.0001, 1.0]. Computed L_max range at bounds: [19, 40].</t>
  </si>
  <si>
    <t>Line 47: params=[6.0, 2.4, 2.0, 3.17, 90.0, None, None]  ERROR: Target L_max=90.0 not within bounds implied by parameter interval [0.0001, 1.0]. Computed L_max range at bounds: [19, 40].</t>
  </si>
  <si>
    <t>Line 48: params=[6.0, 1.4, 2.0, 3.17, 60.0, None, None]  ERROR: Target L_max=60.0 not within bounds implied by parameter interval [0.0001, 1.0]. Computed L_max range at bounds: [19, 41].</t>
  </si>
  <si>
    <t>Line 52: params=[7.5, 0.31, 1.0, 3.14, 160.0, None, None]  ERROR: Target L_max=160.0 not within bounds implied by parameter interval [0.0001, 1.0]. Computed L_max range at bounds: [23, 37].</t>
  </si>
  <si>
    <t>Line 54: params=[5.5, 33.0, 7.5, 3.14, 250.0, None, None]  ERROR: Target L_max=250.0 not within bounds implied by parameter interval [0.0001, 1.0]. Computed L_max range at bounds: [12, 36].</t>
  </si>
  <si>
    <t>Line 57: params=[5.0, 0.01, 4.0, 3.08, 100.0, None, None]  ERROR: Target L_max=100.0 not within bounds implied by parameter interval [0.0001, 1.0]. Computed L_max range at bounds: [23, 73].</t>
  </si>
  <si>
    <t>Line 58: params=[0.675, 0.01, 0.28, 3.08, 420.0, None, None]  ERROR: Target L_max=420.0 not within bounds implied by parameter interval [0.0001, 1.0]. Computed L_max range at bounds: [2, 93].</t>
  </si>
  <si>
    <t>Line 59: params=[1.15, 0.017, 3.2, 3.08, 450.0, None, None]  ERROR: Target L_max=450.0 not within bounds implied by parameter interval [0.0001, 1.0]. Computed L_max range at bounds: [2, 113].</t>
  </si>
  <si>
    <t>Lmax</t>
  </si>
  <si>
    <t>target</t>
  </si>
  <si>
    <t>gamma</t>
  </si>
  <si>
    <t>Ca</t>
  </si>
  <si>
    <t>C0</t>
  </si>
  <si>
    <t>r</t>
  </si>
  <si>
    <t>aq</t>
  </si>
  <si>
    <t>Site_ID</t>
  </si>
  <si>
    <t>[WARNING: αₜ &gt; 0.1]</t>
  </si>
  <si>
    <t>Line 2: params=[1.524, 28.0, 106.35, 4.64674189, 228.6, None, None]  ERROR: Target L_max=228.6 not within bounds implied by parameter interval [0.0001, 1.0]. Computed L_max range at bounds: [1, 210].</t>
  </si>
  <si>
    <t>Line 3: params=[3.048, 0.45, 43.0, 4.953744186, 914.4, None, None]  ERROR: Target L_max=914.4 not within bounds implied by parameter interval [0.0001, 1.0]. Computed L_max range at bounds: [0, 66].</t>
  </si>
  <si>
    <t>Line 5: params=[1.524, 5.26, 19.79, 3.90566953, 259.08, None, None]  ERROR: Target L_max=259.08 not within bounds implied by parameter interval [0.0001, 1.0]. Computed L_max range at bounds: [1, 172].</t>
  </si>
  <si>
    <t>Line 7: params=[2.286, 14.1, 1004.04, 4.725080873, 146.304, None, None]  ERROR: Target L_max=146.304 not within bounds implied by parameter interval [0.0001, 1.0]. Computed L_max range at bounds: [0, 42].</t>
  </si>
  <si>
    <t>Line 9: params=[3.81, 0.68, 68.94, 4.696550624, 106.68, None, None]  ERROR: Target L_max=106.68 not within bounds implied by parameter interval [0.0001, 1.0]. Computed L_max range at bounds: [0, 89].</t>
  </si>
  <si>
    <t>Line 10: params=[5.334, 18.27, 87.41, 4.707868665, 350.52, None, None]  ERROR: Target L_max=350.52 not within bounds implied by parameter interval [0.0001, 1.0]. Computed L_max range at bounds: [4, 103].</t>
  </si>
  <si>
    <t>Line 11: params=[3.2004, 1.806, 871.45, 4.722166504, 182.88, None, None]  ERROR: Target L_max=182.88 not within bounds implied by parameter interval [0.0001, 1.0]. Computed L_max range at bounds: [0, 36].</t>
  </si>
  <si>
    <t>Line 12: params=[1.524, 0.123, 248.76, 4.696016241, 42.672, None, None]  ERROR: Target L_max=42.672 not within bounds implied by parameter interval [0.0001, 1.0]. Computed L_max range at bounds: [0, 3].</t>
  </si>
  <si>
    <t>Line 21: params=[2.286, 0.469, 454.56, 4.695381908, 60.96, None, None]  ERROR: Target L_max=60.96 not within bounds implied by parameter interval [0.0001, 1.0]. Computed L_max range at bounds: [0, 14].</t>
  </si>
  <si>
    <t>Line 23: params=[11.0, 4.246, 63.0, 4.553793651, 420.0, None, None]  ERROR: Target L_max=420.0 not within bounds implied by parameter interval [0.0001, 1.0]. Computed L_max range at bounds: [2, 122].</t>
  </si>
  <si>
    <t>Line 24: params=[3.048, 67.0, 2013.26, 4.728318747, 207.264, None, None]  ERROR: Target L_max=207.264 not within bounds implied by parameter interval [0.0001, 1.0]. Computed L_max range at bounds: [0, 118].</t>
  </si>
  <si>
    <t>Line 25: params=[1.524, 0.0719, 39.783, 4.448633839, 67.056, None, None]  ERROR: Target L_max=67.056 not within bounds implied by parameter interval [0.0001, 1.0]. Computed L_max range at bounds: [0, 6].</t>
  </si>
  <si>
    <t>Line 27: params=[2.1336, 1.504, 88.41, 4.691607284, 396.24, None, None]  ERROR: Target L_max=396.24 not within bounds implied by parameter interval [0.0001, 1.0]. Computed L_max range at bounds: [0, 41].</t>
  </si>
  <si>
    <t>Line 28: params=[1.0668, 5.375, 1005.52, 4.721701209, 457.2, None, None]  ERROR: Target L_max=457.2 not within bounds implied by parameter interval [0.0001, 1.0]. Computed L_max range at bounds: [0, 5].</t>
  </si>
  <si>
    <t>Line 30: params=[1.525, 5.22, 27.61, 4.467656646, 152.0, None, None]  ERROR: Target L_max=152.0 not within bounds implied by parameter interval [0.0001, 1.0]. Computed L_max range at bounds: [1, 136].</t>
  </si>
  <si>
    <t>Line 33: params=[0.305, 5.48, 1339.41, 4.721399721, 107.0, None, None]  ERROR: Target L_max=107.0 not within bounds implied by parameter interval [0.0001, 1.0]. Computed L_max range at bounds: [0, 0].</t>
  </si>
  <si>
    <t>Line 37: params=[7.62, 6.01, 31.84, 4.262961683, 853.0, None, None]  ERROR: Target L_max=853.0 not within bounds implied by parameter interval [0.0001, 1.0]. Computed L_max range at bounds: [4, 153].</t>
  </si>
  <si>
    <t>Line 38: params=[1.22, 0.96, 1456.05, 4.727298513, 30.0, None, None]  ERROR: Target L_max=30.0 not within bounds implied by parameter interval [0.0001, 1.0]. Computed L_max range at bounds: [0, 2].</t>
  </si>
  <si>
    <t>Line 44: params=[6.0, 0.07, 86.0, 8.6, 140.0, None, None]  ERROR: Target L_max=140.0 not within bounds implied by parameter interval [0.0001, 1.0]. Computed L_max range at bounds: [0, 4].</t>
  </si>
  <si>
    <t>Line 45: params=[6.0, 0.04, 86.0, 8.491627907, 90.0, None, None]  ERROR: Target L_max=90.0 not within bounds implied by parameter interval [0.0001, 1.0]. Computed L_max range at bounds: [0, 3].</t>
  </si>
  <si>
    <t>Line 46: params=[6.0, 1.3, 86.0, 8.523372093, 120.0, None, None]  ERROR: Target L_max=120.0 not within bounds implied by parameter interval [0.0001, 1.0]. Computed L_max range at bounds: [0, 22].</t>
  </si>
  <si>
    <t>Line 47: params=[6.0, 2.4, 92.0, 12.17543478, 90.0, None, None]  ERROR: Target L_max=90.0 not within bounds implied by parameter interval [0.0001, 1.0]. Computed L_max range at bounds: [1, 42].</t>
  </si>
  <si>
    <t>Line 48: params=[6.0, 1.4, 92.0, 12.17543478, 60.0, None, None]  ERROR: Target L_max=60.0 not within bounds implied by parameter interval [0.0001, 1.0]. Computed L_max range at bounds: [1, 28].</t>
  </si>
  <si>
    <t>Line 49: params=[6.0, 0.7, 92.0, 12.29391304, 90.0, None, None]  ERROR: Target L_max=90.0 not within bounds implied by parameter interval [0.0001, 1.0]. Computed L_max range at bounds: [0, 18].</t>
  </si>
  <si>
    <t>Line 52: params=[7.5, 0.31, 203.0, 4.892364532, 160.0, None, None]  ERROR: Target L_max=160.0 not within bounds implied by parameter interval [0.0001, 1.0]. Computed L_max range at bounds: [0, 8].</t>
  </si>
  <si>
    <t>Line 53: params=[1.0, 0.01, 7.5, 3.15, 120.0, None, None]  ERROR: Target L_max=120.0 not within bounds implied by parameter interval [0.0001, 1.0]. Computed L_max range at bounds: [0, 1].</t>
  </si>
  <si>
    <t>Line 57: params=[5.0, 0.01, 4.0, 3.08, 100.0, None, None]  ERROR: Target L_max=100.0 not within bounds implied by parameter interval [0.0001, 1.0]. Computed L_max range at bounds: [0, 3].</t>
  </si>
  <si>
    <t>Line 58: params=[0.675, 0.01, 21.73, 4.88778647, 420.0, None, None]  ERROR: Target L_max=420.0 not within bounds implied by parameter interval [0.0001, 1.0]. Computed L_max range at bounds: [0, 0].</t>
  </si>
  <si>
    <t>Line 59: params=[1.15, 0.017, 15.381, 4.342577206, 450.0, None, None]  ERROR: Target L_max=450.0 not within bounds implied by parameter interval [0.0001, 1.0]. Computed L_max range at bounds: [0, 2].</t>
  </si>
  <si>
    <t>Line 60: params=[1.875, 0.0004, 13.7, 11.8190146, 140.0, None, None]  ERROR: Target L_max=140.0 not within bounds implied by parameter interval [0.0001, 1.0]. Computed L_max range at bounds: [0, 1].</t>
  </si>
  <si>
    <t>Line 61: params=[1.5, 8.9, 495.61, 4.737529307, 250.0, None, None]  ERROR: Target L_max=250.0 not within bounds implied by parameter interval [0.0001, 1.0]. Computed L_max range at bounds: [0, 22].</t>
  </si>
  <si>
    <t>Line 1: params=[4.572, 3.55, 37.67, 4.477132997, 274.32, None, None]  ERROR: Target L_max=274.32 not within bounds implied by parameter interval [0.0001, 1.0]. Computed L_max range at bounds: [3, 170].</t>
  </si>
  <si>
    <t>Line 3: params=[3.048, 0.45, 43.0, 4.953744186, 914.4, None, None]  ERROR: Target L_max=914.4 not within bounds implied by parameter interval [0.0001, 1.0]. Computed L_max range at bounds: [0, 21].</t>
  </si>
  <si>
    <t>Line 7: params=[2.286, 14.1, 1004.04, 4.725080873, 146.304, None, None]  ERROR: Target L_max=146.304 not within bounds implied by parameter interval [0.0001, 1.0]. Computed L_max range at bounds: [0, 14].</t>
  </si>
  <si>
    <t>Line 9: params=[3.81, 0.68, 68.94, 4.696550624, 106.68, None, None]  ERROR: Target L_max=106.68 not within bounds implied by parameter interval [0.0001, 1.0]. Computed L_max range at bounds: [1, 30].</t>
  </si>
  <si>
    <t>Line 11: params=[3.2004, 1.806, 871.45, 4.722166504, 182.88, None, None]  ERROR: Target L_max=182.88 not within bounds implied by parameter interval [0.0001, 1.0]. Computed L_max range at bounds: [0, 11].</t>
  </si>
  <si>
    <t>Line 12: params=[1.524, 0.123, 248.76, 4.696016241, 42.672, None, None]  ERROR: Target L_max=42.672 not within bounds implied by parameter interval [0.0001, 1.0]. Computed L_max range at bounds: [0, 0].</t>
  </si>
  <si>
    <t>Line 18: params=[3.81, 22.9, 90.85, 4.625536599, 914.4, None, None]  ERROR: Target L_max=914.4 not within bounds implied by parameter interval [0.0001, 1.0]. Computed L_max range at bounds: [8, 352].</t>
  </si>
  <si>
    <t>Line 21: params=[2.286, 0.469, 454.56, 4.695381908, 60.96, None, None]  ERROR: Target L_max=60.96 not within bounds implied by parameter interval [0.0001, 1.0]. Computed L_max range at bounds: [0, 3].</t>
  </si>
  <si>
    <t>Line 24: params=[3.048, 67.0, 2013.26, 4.728318747, 207.264, None, None]  ERROR: Target L_max=207.264 not within bounds implied by parameter interval [0.0001, 1.0]. Computed L_max range at bounds: [1, 39].</t>
  </si>
  <si>
    <t>Line 25: params=[1.524, 0.0719, 39.783, 4.448633839, 67.056, None, None]  ERROR: Target L_max=67.056 not within bounds implied by parameter interval [0.0001, 1.0]. Computed L_max range at bounds: [0, 0].</t>
  </si>
  <si>
    <t>Line 27: params=[2.1336, 1.504, 88.41, 4.691607284, 396.24, None, None]  ERROR: Target L_max=396.24 not within bounds implied by parameter interval [0.0001, 1.0]. Computed L_max range at bounds: [0, 13].</t>
  </si>
  <si>
    <t>Line 28: params=[1.0668, 5.375, 1005.52, 4.721701209, 457.2, None, None]  ERROR: Target L_max=457.2 not within bounds implied by parameter interval [0.0001, 1.0]. Computed L_max range at bounds: [0, 37].</t>
  </si>
  <si>
    <t>Line 32: params=[3.05, 2.84, 24.6, 4.972276423, 168.0, None, None]  ERROR: Target L_max=168.0 not within bounds implied by parameter interval [0.0001, 1.0]. Computed L_max range at bounds: [3, 108].</t>
  </si>
  <si>
    <t>Line 33: params=[0.305, 5.48, 1339.41, 4.721399721, 107.0, None, None]  ERROR: Target L_max=107.0 not within bounds implied by parameter interval [0.0001, 1.0]. Computed L_max range at bounds: [0, 2].</t>
  </si>
  <si>
    <t>Line 38: params=[1.22, 0.96, 1456.05, 4.727298513, 30.0, None, None]  ERROR: Target L_max=30.0 not within bounds implied by parameter interval [0.0001, 1.0]. Computed L_max range at bounds: [0, 0].</t>
  </si>
  <si>
    <t>Line 44: params=[6.0, 0.07, 86.0, 8.6, 140.0, None, None]  ERROR: Target L_max=140.0 not within bounds implied by parameter interval [0.0001, 1.0]. Computed L_max range at bounds: [1, 56].</t>
  </si>
  <si>
    <t>Line 45: params=[6.0, 0.04, 86.0, 8.491627907, 90.0, None, None]  ERROR: Target L_max=90.0 not within bounds implied by parameter interval [0.0001, 1.0]. Computed L_max range at bounds: [1, 53].</t>
  </si>
  <si>
    <t>Line 50: params=[50.0, 0.25, 126.0, 19.3268254, 150.0, None, None]  ERROR: Target L_max=150.0 not within bounds implied by parameter interval [0.0001, 1.0]. Computed L_max range at bounds: [35, 114].</t>
  </si>
  <si>
    <t>Line 53: params=[1.0, 0.01, 7.5, 3.15, 120.0, None, None]  ERROR: Target L_max=120.0 not within bounds implied by parameter interval [0.0001, 1.0]. Computed L_max range at bounds: [0, 16].</t>
  </si>
  <si>
    <t>Line 56: params=[3.0, 230.0, 655.9, 4.737597195, 500.0, None, None]  ERROR: Target L_max=500.0 not within bounds implied by parameter interval [0.0001, 1.0]. Computed L_max range at bounds: [10, 362].</t>
  </si>
  <si>
    <t>Line 57: params=[5.0, 0.01, 4.0, 3.08, 100.0, None, None]  ERROR: Target L_max=100.0 not within bounds implied by parameter interval [0.0001, 1.0]. Computed L_max range at bounds: [1, 29].</t>
  </si>
  <si>
    <t>Line 58: params=[0.675, 0.01, 21.73, 4.88778647, 420.0, None, None]  ERROR: Target L_max=420.0 not within bounds implied by parameter interval [0.0001, 1.0]. Computed L_max range at bounds: [0, 4].</t>
  </si>
  <si>
    <t>Line 59: params=[1.15, 0.017, 15.381, 4.342577206, 450.0, None, None]  ERROR: Target L_max=450.0 not within bounds implied by parameter interval [0.0001, 1.0]. Computed L_max range at bounds: [0, 23].</t>
  </si>
  <si>
    <t>Line 60: params=[1.875, 0.0004, 13.7, 11.8190146, 140.0, None, None]  ERROR: Target L_max=140.0 not within bounds implied by parameter interval [0.0001, 1.0]. Computed L_max range at bounds: [0, 0].</t>
  </si>
  <si>
    <t>Line 61: params=[1.5, 8.9, 495.61, 4.737529307, 250.0, None, None]  ERROR: Target L_max=250.0 not within bounds implied by parameter interval [0.0001, 1.0]. Computed L_max range at bounds: [0, 121].</t>
  </si>
  <si>
    <t>Line 3: params=[3.048, 0.45, 43.0, 4.953744186, 914.4, None, None]  ERROR: Target L_max=914.4 not within bounds implied by parameter interval [0.0001, 1.0]. Computed L_max range at bounds: [1, 90].</t>
  </si>
  <si>
    <t>Line 5: params=[1.524, 5.26, 19.79, 3.90566953, 259.08, None, None]  ERROR: Target L_max=259.08 not within bounds implied by parameter interval [0.0001, 1.0]. Computed L_max range at bounds: [5, 205].</t>
  </si>
  <si>
    <t>Line 7: params=[2.286, 14.1, 1004.04, 4.725080873, 146.304, None, None]  ERROR: Target L_max=146.304 not within bounds implied by parameter interval [0.0001, 1.0]. Computed L_max range at bounds: [1, 51].</t>
  </si>
  <si>
    <t>Line 11: params=[3.2004, 1.806, 871.45, 4.722166504, 182.88, None, None]  ERROR: Target L_max=182.88 not within bounds implied by parameter interval [0.0001, 1.0]. Computed L_max range at bounds: [1, 77].</t>
  </si>
  <si>
    <t>Line 12: params=[1.524, 0.123, 248.76, 4.696016241, 42.672, None, None]  ERROR: Target L_max=42.672 not within bounds implied by parameter interval [0.0001, 1.0]. Computed L_max range at bounds: [0, 5].</t>
  </si>
  <si>
    <t>Line 21: params=[2.286, 0.469, 454.56, 4.695381908, 60.96, None, None]  ERROR: Target L_max=60.96 not within bounds implied by parameter interval [0.0001, 1.0]. Computed L_max range at bounds: [1, 20].</t>
  </si>
  <si>
    <t>Line 24: params=[3.048, 67.0, 2013.26, 4.728318747, 207.264, None, None]  ERROR: Target L_max=207.264 not within bounds implied by parameter interval [0.0001, 1.0]. Computed L_max range at bounds: [2, 149].</t>
  </si>
  <si>
    <t>Line 25: params=[1.524, 0.0719, 39.783, 4.448633839, 67.056, None, None]  ERROR: Target L_max=67.056 not within bounds implied by parameter interval [0.0001, 1.0]. Computed L_max range at bounds: [0, 9].</t>
  </si>
  <si>
    <t>Line 26: params=[4.2672, 25.4, 24.5, 4.451306122, 71.3232, None, None]  ERROR: Target L_max=71.3232 not within bounds implied by parameter interval [0.0001, 1.0]. Computed L_max range at bounds: [149, 1000].</t>
  </si>
  <si>
    <t>Line 27: params=[2.1336, 1.504, 88.41, 4.691607284, 396.24, None, None]  ERROR: Target L_max=396.24 not within bounds implied by parameter interval [0.0001, 1.0]. Computed L_max range at bounds: [1, 49].</t>
  </si>
  <si>
    <t>Line 28: params=[1.0668, 5.375, 1005.52, 4.721701209, 457.2, None, None]  ERROR: Target L_max=457.2 not within bounds implied by parameter interval [0.0001, 1.0]. Computed L_max range at bounds: [0, 7].</t>
  </si>
  <si>
    <t>Line 33: params=[0.305, 5.48, 1339.41, 4.721399721, 107.0, None, None]  ERROR: Target L_max=107.0 not within bounds implied by parameter interval [0.0001, 1.0]. Computed L_max range at bounds: [0, 10].</t>
  </si>
  <si>
    <t>Line 38: params=[1.22, 0.96, 1456.05, 4.727298513, 30.0, None, None]  ERROR: Target L_max=30.0 not within bounds implied by parameter interval [0.0001, 1.0]. Computed L_max range at bounds: [0, 3].</t>
  </si>
  <si>
    <t>Line 40: params=[8.38, 32.56, 25.97, 4.100805818, 244.0, None, None]  ERROR: Target L_max=244.0 not within bounds implied by parameter interval [0.0001, 1.0]. Computed L_max range at bounds: [404, 592].</t>
  </si>
  <si>
    <t>Line 50: params=[50.0, 0.25, 126.0, 19.3268254, 150.0, None, None]  ERROR: Target L_max=150.0 not within bounds implied by parameter interval [0.0001, 1.0]. Computed L_max range at bounds: [31, 85].</t>
  </si>
  <si>
    <t>Line 51: params=[50.0, 0.4, 126.0, 19.70730159, 100.0, None, None]  ERROR: Target L_max=100.0 not within bounds implied by parameter interval [0.0001, 1.0]. Computed L_max range at bounds: [31, 85].</t>
  </si>
  <si>
    <t>Line 53: params=[1.0, 0.01, 7.5, 3.15, 120.0, None, None]  ERROR: Target L_max=120.0 not within bounds implied by parameter interval [0.0001, 1.0]. Computed L_max range at bounds: [0, 2].</t>
  </si>
  <si>
    <t>Line 54: params=[5.5, 33.0, 25.0, 4.259, 250.0, None, None]  ERROR: Target L_max=250.0 not within bounds implied by parameter interval [0.0001, 1.0]. Computed L_max range at bounds: [290, 1000].</t>
  </si>
  <si>
    <t>Line 59: params=[1.15, 0.017, 15.381, 4.342577206, 450.0, None, None]  ERROR: Target L_max=450.0 not within bounds implied by parameter interval [0.0001, 1.0]. Computed L_max range at bounds: [0, 3].</t>
  </si>
  <si>
    <t>Line 60: params=[1.875, 0.0004, 13.7, 11.8190146, 140.0, None, None]  ERROR: Target L_max=140.0 not within bounds implied by parameter interval [0.0001, 1.0]. Computed L_max range at bounds: [0, 6].</t>
  </si>
  <si>
    <t>Line 61: params=[1.5, 8.9, 495.61, 4.737529307, 250.0, None, None]  ERROR: Target L_max=250.0 not within bounds implied by parameter interval [0.0001, 1.0]. Computed L_max range at bounds: [1, 26].</t>
  </si>
  <si>
    <t>Line 3: params=[3.048, 0.45, 43.0, 4.953744186, 914.4, None, None]  ERROR: Target L_max=914.4 not within bounds implied by parameter interval [0.0001, 1.0]. Computed L_max range at bounds: [3, 131].</t>
  </si>
  <si>
    <t>Line 11: params=[3.2004, 1.806, 871.45, 4.722166504, 182.88, None, None]  ERROR: Target L_max=182.88 not within bounds implied by parameter interval [0.0001, 1.0]. Computed L_max range at bounds: [2, 139].</t>
  </si>
  <si>
    <t>Line 12: params=[1.524, 0.123, 248.76, 4.696016241, 42.672, None, None]  ERROR: Target L_max=42.672 not within bounds implied by parameter interval [0.0001, 1.0]. Computed L_max range at bounds: [1, 17].</t>
  </si>
  <si>
    <t>Line 20: params=[1.524, 90.21, 90.19, 4.665756736, 60.96, None, None]  ERROR: Target L_max=60.96 not within bounds implied by parameter interval [0.0001, 1.0]. Computed L_max range at bounds: [79, 1000].</t>
  </si>
  <si>
    <t>Line 23: params=[11.0, 4.246, 63.0, 4.553793651, 420.0, None, None]  ERROR: Target L_max=420.0 not within bounds implied by parameter interval [0.0001, 1.0]. Computed L_max range at bounds: [27, 130].</t>
  </si>
  <si>
    <t>Line 24: params=[3.048, 67.0, 2013.26, 4.728318747, 207.264, None, None]  ERROR: Target L_max=207.264 not within bounds implied by parameter interval [0.0001, 1.0]. Computed L_max range at bounds: [4, 197].</t>
  </si>
  <si>
    <t>Line 25: params=[1.524, 0.0719, 39.783, 4.448633839, 67.056, None, None]  ERROR: Target L_max=67.056 not within bounds implied by parameter interval [0.0001, 1.0]. Computed L_max range at bounds: [1, 23].</t>
  </si>
  <si>
    <t>Line 26: params=[4.2672, 25.4, 24.5, 4.451306122, 71.3232, None, None]  ERROR: Target L_max=71.3232 not within bounds implied by parameter interval [0.0001, 1.0]. Computed L_max range at bounds: [241, 1000].</t>
  </si>
  <si>
    <t>Line 27: params=[2.1336, 1.504, 88.41, 4.691607284, 396.24, None, None]  ERROR: Target L_max=396.24 not within bounds implied by parameter interval [0.0001, 1.0]. Computed L_max range at bounds: [2, 123].</t>
  </si>
  <si>
    <t>Line 28: params=[1.0668, 5.375, 1005.52, 4.721701209, 457.2, None, None]  ERROR: Target L_max=457.2 not within bounds implied by parameter interval [0.0001, 1.0]. Computed L_max range at bounds: [0, 16].</t>
  </si>
  <si>
    <t>Line 33: params=[0.305, 5.48, 1339.41, 4.721399721, 107.0, None, None]  ERROR: Target L_max=107.0 not within bounds implied by parameter interval [0.0001, 1.0]. Computed L_max range at bounds: [0, 24].</t>
  </si>
  <si>
    <t>Line 34: params=[1.525, 48.65, 47.59, 5.928113049, 85.0, None, None]  ERROR: Target L_max=85.0 not within bounds implied by parameter interval [0.0001, 1.0]. Computed L_max range at bounds: [122, 1000].</t>
  </si>
  <si>
    <t>Line 35: params=[5.335, 18.27, 25.45, 5.970098232, 229.0, None, None]  ERROR: Target L_max=229.0 not within bounds implied by parameter interval [0.0001, 1.0]. Computed L_max range at bounds: [288, 826].</t>
  </si>
  <si>
    <t>Line 37: params=[7.62, 6.01, 31.84, 4.262961683, 853.0, None, None]  ERROR: Target L_max=853.0 not within bounds implied by parameter interval [0.0001, 1.0]. Computed L_max range at bounds: [46, 714].</t>
  </si>
  <si>
    <t>Line 38: params=[1.22, 0.96, 1456.05, 4.727298513, 30.0, None, None]  ERROR: Target L_max=30.0 not within bounds implied by parameter interval [0.0001, 1.0]. Computed L_max range at bounds: [0, 9].</t>
  </si>
  <si>
    <t>Line 40: params=[8.38, 32.56, 25.97, 4.100805818, 244.0, None, None]  ERROR: unsupported operand type(s) for -: 'NoneType' and 'float'</t>
  </si>
  <si>
    <t>Line 50: params=[50.0, 0.25, 126.0, 19.3268254, 150.0, None, None]  ERROR: Target L_max=150.0 not within bounds implied by parameter interval [0.0001, 1.0]. Computed L_max range at bounds: [39, 40].</t>
  </si>
  <si>
    <t>Line 51: params=[50.0, 0.4, 126.0, 19.70730159, 100.0, None, None]  ERROR: Target L_max=100.0 not within bounds implied by parameter interval [0.0001, 1.0]. Computed L_max range at bounds: [39, 40].</t>
  </si>
  <si>
    <t>Line 53: params=[1.0, 0.01, 7.5, 3.15, 120.0, None, None]  ERROR: Target L_max=120.0 not within bounds implied by parameter interval [0.0001, 1.0]. Computed L_max range at bounds: [0, 6].</t>
  </si>
  <si>
    <t>Line 54: params=[5.5, 33.0, 25.0, 4.259, 250.0, None, None]  ERROR: Target L_max=250.0 not within bounds implied by parameter interval [0.0001, 1.0]. Computed L_max range at bounds: [460, 576].</t>
  </si>
  <si>
    <t>Line 58: params=[0.675, 0.01, 21.73, 4.88778647, 420.0, None, None]  ERROR: Target L_max=420.0 not within bounds implied by parameter interval [0.0001, 1.0]. Computed L_max range at bounds: [0, 1].</t>
  </si>
  <si>
    <t>Line 59: params=[1.15, 0.017, 15.381, 4.342577206, 450.0, None, None]  ERROR: Target L_max=450.0 not within bounds implied by parameter interval [0.0001, 1.0]. Computed L_max range at bounds: [0, 9].</t>
  </si>
  <si>
    <t>Line 60: params=[1.875, 0.0004, 13.7, 11.8190146, 140.0, None, None]  ERROR: Target L_max=140.0 not within bounds implied by parameter interval [0.0001, 1.0]. Computed L_max range at bounds: [1, 37].</t>
  </si>
  <si>
    <t>Line 61: params=[1.5, 8.9, 495.61, 4.737529307, 250.0, None, None]  ERROR: Target L_max=250.0 not within bounds implied by parameter interval [0.0001, 1.0]. Computed L_max range at bounds: [1, 56].</t>
  </si>
  <si>
    <t xml:space="preserve"> 43.0</t>
  </si>
  <si>
    <t xml:space="preserve"> 4.953744186</t>
  </si>
  <si>
    <t xml:space="preserve"> 1.0]. Computed L_max range at bounds: [4</t>
  </si>
  <si>
    <t xml:space="preserve"> 361].</t>
  </si>
  <si>
    <t>Line 11: params=[3.2004</t>
  </si>
  <si>
    <t xml:space="preserve"> 1.806</t>
  </si>
  <si>
    <t xml:space="preserve"> 871.45</t>
  </si>
  <si>
    <t xml:space="preserve"> 4.722166504</t>
  </si>
  <si>
    <t xml:space="preserve"> 182.88</t>
  </si>
  <si>
    <t xml:space="preserve"> None]  ERROR: Target L_max=182.88 not within bounds implied by parameter interval [0.0001</t>
  </si>
  <si>
    <t xml:space="preserve"> 1.0]. Computed L_max range at bounds: [3</t>
  </si>
  <si>
    <t xml:space="preserve"> 75].</t>
  </si>
  <si>
    <t xml:space="preserve"> 90.19</t>
  </si>
  <si>
    <t xml:space="preserve"> 4.665756736</t>
  </si>
  <si>
    <t xml:space="preserve"> 1.0]. Computed L_max range at bounds: [105</t>
  </si>
  <si>
    <t>Line 23: params=[11.0</t>
  </si>
  <si>
    <t xml:space="preserve"> 4.246</t>
  </si>
  <si>
    <t xml:space="preserve"> 63.0</t>
  </si>
  <si>
    <t xml:space="preserve"> 4.553793651</t>
  </si>
  <si>
    <t xml:space="preserve"> 1.0]. Computed L_max range at bounds: [43</t>
  </si>
  <si>
    <t xml:space="preserve"> 24.5</t>
  </si>
  <si>
    <t xml:space="preserve"> 4.451306122</t>
  </si>
  <si>
    <t xml:space="preserve"> 1.0]. Computed L_max range at bounds: [351</t>
  </si>
  <si>
    <t xml:space="preserve"> 612].</t>
  </si>
  <si>
    <t xml:space="preserve"> 88.41</t>
  </si>
  <si>
    <t xml:space="preserve"> 4.691607284</t>
  </si>
  <si>
    <t xml:space="preserve"> 237].</t>
  </si>
  <si>
    <t xml:space="preserve"> 1005.52</t>
  </si>
  <si>
    <t xml:space="preserve"> 4.721701209</t>
  </si>
  <si>
    <t>Line 29: params=[1.067</t>
  </si>
  <si>
    <t xml:space="preserve"> 3.88</t>
  </si>
  <si>
    <t xml:space="preserve"> 5.531185567</t>
  </si>
  <si>
    <t xml:space="preserve"> None]  ERROR: Target L_max=57.3024 not within bounds implied by parameter interval [0.0001</t>
  </si>
  <si>
    <t xml:space="preserve"> 1.0]. Computed L_max range at bounds: [85</t>
  </si>
  <si>
    <t xml:space="preserve"> 1339.41</t>
  </si>
  <si>
    <t xml:space="preserve"> 4.721399721</t>
  </si>
  <si>
    <t xml:space="preserve"> 44].</t>
  </si>
  <si>
    <t>Line 34: params=[1.525</t>
  </si>
  <si>
    <t xml:space="preserve"> 48.65</t>
  </si>
  <si>
    <t xml:space="preserve"> 47.59</t>
  </si>
  <si>
    <t xml:space="preserve"> 5.928113049</t>
  </si>
  <si>
    <t xml:space="preserve"> 85.0</t>
  </si>
  <si>
    <t xml:space="preserve"> None]  ERROR: Target L_max=85.0 not within bounds implied by parameter interval [0.0001</t>
  </si>
  <si>
    <t xml:space="preserve"> 1.0]. Computed L_max range at bounds: [166</t>
  </si>
  <si>
    <t>Line 35: params=[5.335</t>
  </si>
  <si>
    <t xml:space="preserve"> 18.27</t>
  </si>
  <si>
    <t xml:space="preserve"> 25.45</t>
  </si>
  <si>
    <t xml:space="preserve"> 5.970098232</t>
  </si>
  <si>
    <t xml:space="preserve"> 229.0</t>
  </si>
  <si>
    <t xml:space="preserve"> None]  ERROR: Target L_max=229.0 not within bounds implied by parameter interval [0.0001</t>
  </si>
  <si>
    <t xml:space="preserve"> 1.0]. Computed L_max range at bounds: [259</t>
  </si>
  <si>
    <t xml:space="preserve"> 402].</t>
  </si>
  <si>
    <t xml:space="preserve"> 31.84</t>
  </si>
  <si>
    <t xml:space="preserve"> 4.262961683</t>
  </si>
  <si>
    <t xml:space="preserve"> 1.0]. Computed L_max range at bounds: [59</t>
  </si>
  <si>
    <t xml:space="preserve"> 169].</t>
  </si>
  <si>
    <t xml:space="preserve"> 25.97</t>
  </si>
  <si>
    <t xml:space="preserve"> 4.100805818</t>
  </si>
  <si>
    <t xml:space="preserve"> 27].</t>
  </si>
  <si>
    <t xml:space="preserve"> 126.0</t>
  </si>
  <si>
    <t xml:space="preserve"> 19.3268254</t>
  </si>
  <si>
    <t xml:space="preserve"> 19.70730159</t>
  </si>
  <si>
    <t xml:space="preserve"> 3.15</t>
  </si>
  <si>
    <t xml:space="preserve"> 13].</t>
  </si>
  <si>
    <t xml:space="preserve"> 21.73</t>
  </si>
  <si>
    <t xml:space="preserve"> 4.88778647</t>
  </si>
  <si>
    <t xml:space="preserve"> 15.381</t>
  </si>
  <si>
    <t xml:space="preserve"> 4.342577206</t>
  </si>
  <si>
    <t xml:space="preserve"> 20].</t>
  </si>
  <si>
    <t xml:space="preserve"> 495.61</t>
  </si>
  <si>
    <t xml:space="preserve"> 4.737529307</t>
  </si>
  <si>
    <t xml:space="preserve"> 1.0]. Computed L_max range at bounds: [2</t>
  </si>
  <si>
    <t xml:space="preserve"> 104].</t>
  </si>
  <si>
    <t>Line 10: params=[5.334, 18.27, 87.41, 4.707868665, 350.52, None, None]  ERROR: Target L_max=350.52 not within bounds implied by parameter interval [0.0001, 1.0]. Computed L_max range at bounds: [94, 112].</t>
  </si>
  <si>
    <t>Line 17: params=[2.286, 84.9, 97.663, 4.598576738, 128.016, None, None]  ERROR: Target L_max=128.016 not within bounds implied by parameter interval [0.0001, 1.0]. Computed L_max range at bounds: [206, 1000].</t>
  </si>
  <si>
    <t>Line 18: params=[3.81, 22.9, 90.85, 4.625536599, 914.4, None, None]  ERROR: Target L_max=914.4 not within bounds implied by parameter interval [0.0001, 1.0]. Computed L_max range at bounds: [70, 505].</t>
  </si>
  <si>
    <t>Line 20: params=[1.524, 90.21, 90.19, 4.665756736, 60.96, None, None]  ERROR: Target L_max=60.96 not within bounds implied by parameter interval [0.0001, 1.0]. Computed L_max range at bounds: [167, 1000].</t>
  </si>
  <si>
    <t>Line 22: params=[2.286, 20.95, 25.72, 4.288335925, 106.68, None, None]  ERROR: Target L_max=106.68 not within bounds implied by parameter interval [0.0001, 1.0]. Computed L_max range at bounds: [166, 1000].</t>
  </si>
  <si>
    <t>Line 23: params=[11.0, 4.246, 63.0, 4.553793651, 420.0, None, None]  ERROR: Target L_max=420.0 not within bounds implied by parameter interval [0.0001, 1.0]. Computed L_max range at bounds: [17, 18].</t>
  </si>
  <si>
    <t>Line 26: params=[4.2672, 25.4, 24.5, 4.451306122, 71.3232, None, None]  ERROR: Target L_max=71.3232 not within bounds implied by parameter interval [0.0001, 1.0]. Computed L_max range at bounds: [115, 620].</t>
  </si>
  <si>
    <t>Line 27: params=[2.1336, 1.504, 88.41, 4.691607284, 396.24, None, None]  ERROR: Target L_max=396.24 not within bounds implied by parameter interval [0.0001, 1.0]. Computed L_max range at bounds: [5, 111].</t>
  </si>
  <si>
    <t>Line 28: params=[1.0668, 5.375, 1005.52, 4.721701209, 457.2, None, None]  ERROR: Target L_max=457.2 not within bounds implied by parameter interval [0.0001, 1.0]. Computed L_max range at bounds: [1, 88].</t>
  </si>
  <si>
    <t>Line 29: params=[1.067, 3.57, 3.88, 5.531185567, 57.3024, None, None]  ERROR: Target L_max=57.3024 not within bounds implied by parameter interval [0.0001, 1.0]. Computed L_max range at bounds: [129, 1000].</t>
  </si>
  <si>
    <t>Line 31: params=[4.57, 9.23, 14.71, 4.543834126, 366.0, None, None]  ERROR: Target L_max=366.0 not within bounds implied by parameter interval [0.0001, 1.0]. Computed L_max range at bounds: [118, 312].</t>
  </si>
  <si>
    <t>Line 34: params=[1.525, 48.65, 47.59, 5.928113049, 85.0, None, None]  ERROR: Target L_max=85.0 not within bounds implied by parameter interval [0.0001, 1.0]. Computed L_max range at bounds: [255, 1000].</t>
  </si>
  <si>
    <t>Line 35: params=[5.335, 18.27, 25.45, 5.970098232, 229.0, None, None]  ERROR: unsupported operand type(s) for -: 'NoneType' and 'float'</t>
  </si>
  <si>
    <t>Line 37: params=[7.62, 6.01, 31.84, 4.262961683, 853.0, None, None]  ERROR: Target L_max=853.0 not within bounds implied by parameter interval [0.0001, 1.0]. Computed L_max range at bounds: [35, 56].</t>
  </si>
  <si>
    <t>Line 41: params=[4.57, 15.6, 25.44, 4.100805818, 549.0, None, None]  ERROR: Target L_max=549.0 not within bounds implied by parameter interval [0.0001, 1.0]. Computed L_max range at bounds: [127, 258].</t>
  </si>
  <si>
    <t>Line 44: params=[6.0, 0.07, 86.0, 8.6, 140.0, None, None]  ERROR: Target L_max=140.0 not within bounds implied by parameter interval [0.0001, 1.0]. Computed L_max range at bounds: [22, 91].</t>
  </si>
  <si>
    <t>Line 46: params=[6.0, 1.3, 86.0, 8.523372093, 120.0, None, None]  ERROR: Target L_max=120.0 not within bounds implied by parameter interval [0.0001, 1.0]. Computed L_max range at bounds: [29, 85].</t>
  </si>
  <si>
    <t>Line 47: params=[6.0, 2.4, 92.0, 12.17543478, 90.0, None, None]  ERROR: Target L_max=90.0 not within bounds implied by parameter interval [0.0001, 1.0]. Computed L_max range at bounds: [44, 77].</t>
  </si>
  <si>
    <t>Line 50: params=[50.0, 0.25, 126.0, 19.3268254, 150.0, None, None]  ERROR: Could not compute a valid L_max when scanning up from lower bound 0.0001 up to 1.0 for parameter alpha_t.</t>
  </si>
  <si>
    <t>Line 51: params=[50.0, 0.4, 126.0, 19.70730159, 100.0, None, None]  ERROR: Could not compute a valid L_max when scanning up from lower bound 0.0001 up to 1.0 for parameter alpha_t.</t>
  </si>
  <si>
    <t>Line 52: params=[7.5, 0.31, 203.0, 4.892364532, 160.0, None, None]  ERROR: Target L_max=160.0 not within bounds implied by parameter interval [0.0001, 1.0]. Computed L_max range at bounds: [40, 52].</t>
  </si>
  <si>
    <t>Line 53: params=[1.0, 0.01, 7.5, 3.15, 120.0, None, None]  ERROR: Target L_max=120.0 not within bounds implied by parameter interval [0.0001, 1.0]. Computed L_max range at bounds: [1, 53].</t>
  </si>
  <si>
    <t>Line 54: params=[5.5, 33.0, 25.0, 4.259, 250.0, None, None]  ERROR: Target L_max=250.0 not within bounds implied by parameter interval [0.0001, 1.0]. Computed L_max range at bounds: [11, 26].</t>
  </si>
  <si>
    <t>Line 58: params=[0.675, 0.01, 21.73, 4.88778647, 420.0, None, None]  ERROR: Target L_max=420.0 not within bounds implied by parameter interval [0.0001, 1.0]. Computed L_max range at bounds: [1, 11].</t>
  </si>
  <si>
    <t>Line 59: params=[1.15, 0.017, 15.381, 4.342577206, 450.0, None, None]  ERROR: Target L_max=450.0 not within bounds implied by parameter interval [0.0001, 1.0]. Computed L_max range at bounds: [1, 108].</t>
  </si>
  <si>
    <t>Line 61: params=[1.5, 8.9, 495.61, 4.737529307, 250.0, None, None]  ERROR: Target L_max=250.0 not within bounds implied by parameter interval [0.0001, 1.0]. Computed L_max range at bounds: [3, 142].</t>
  </si>
  <si>
    <t>Line 1: params=[4.572, 3.55, 37.67, 4.477132997, 274.32, None, None]  ERROR: Target L_max=274.32 not within bounds implied by parameter interval [0.0001, 1.0]. Computed L_max range at bounds: [67, 68].</t>
  </si>
  <si>
    <t>Line 10: params=[5.334, 18.27, 87.41, 4.707868665, 350.52, None, None]  ERROR: Target L_max=350.52 not within bounds implied by parameter interval [0.0001, 1.0]. Computed L_max range at bounds: [46, 100].</t>
  </si>
  <si>
    <t>Line 14: params=[3.81, 8.18, 23.9, 4.209832636, 219.456, None, None]  ERROR: Target L_max=219.456 not within bounds implied by parameter interval [0.0001, 1.0]. Computed L_max range at bounds: [120, 120].</t>
  </si>
  <si>
    <t>Line 17: params=[2.286, 84.9, 97.663, 4.598576738, 128.016, None, None]  ERROR: Target L_max=128.016 not within bounds implied by parameter interval [0.0001, 1.0]. Computed L_max range at bounds: [311, 571].</t>
  </si>
  <si>
    <t>Line 18: params=[3.81, 22.9, 90.85, 4.625536599, 914.4, None, None]  ERROR: Target L_max=914.4 not within bounds implied by parameter interval [0.0001, 1.0]. Computed L_max range at bounds: [92, 137].</t>
  </si>
  <si>
    <t>Line 19: params=[4.572, 49.3, 107.76, 4.653591314, 192.024, None, None]  ERROR: unsupported operand type(s) for -: 'NoneType' and 'float'</t>
  </si>
  <si>
    <t>Line 20: params=[1.524, 90.21, 90.19, 4.665756736, 60.96, None, None]  ERROR: Target L_max=60.96 not within bounds implied by parameter interval [0.0001, 1.0]. Computed L_max range at bounds: [231, 1000].</t>
  </si>
  <si>
    <t>Line 22: params=[2.286, 20.95, 25.72, 4.288335925, 106.68, None, None]  ERROR: Target L_max=106.68 not within bounds implied by parameter interval [0.0001, 1.0]. Computed L_max range at bounds: [250, 638].</t>
  </si>
  <si>
    <t>Line 23: params=[11.0, 4.246, 63.0, 4.553793651, 420.0, None, None]  ERROR: Target L_max=420.0 not within bounds implied by parameter interval [0.0001, 1.0]. Computed L_max range at bounds: [34, 41].</t>
  </si>
  <si>
    <t>Line 26: params=[4.2672, 25.4, 24.5, 4.451306122, 71.3232, None, None]  ERROR: unsupported operand type(s) for -: 'NoneType' and 'float'</t>
  </si>
  <si>
    <t>Line 28: params=[1.0668, 5.375, 1005.52, 4.721701209, 457.2, None, None]  ERROR: Target L_max=457.2 not within bounds implied by parameter interval [0.0001, 1.0]. Computed L_max range at bounds: [2, 169].</t>
  </si>
  <si>
    <t>Line 29: params=[1.067, 3.57, 3.88, 5.531185567, 57.3024, None, None]  ERROR: Target L_max=57.3024 not within bounds implied by parameter interval [0.0001, 1.0]. Computed L_max range at bounds: [178, 1000].</t>
  </si>
  <si>
    <t>Line 31: params=[4.57, 9.23, 14.71, 4.543834126, 366.0, None, None]  ERROR: unsupported operand type(s) for -: 'NoneType' and 'float'</t>
  </si>
  <si>
    <t>Line 33: params=[0.305, 5.48, 1339.41, 4.721399721, 107.0, None, None]  ERROR: Target L_max=107.0 not within bounds implied by parameter interval [0.0001, 1.0]. Computed L_max range at bounds: [0, 8].</t>
  </si>
  <si>
    <t>Line 34: params=[1.525, 48.65, 47.59, 5.928113049, 85.0, None, None]  ERROR: Target L_max=85.0 not within bounds implied by parameter interval [0.0001, 1.0]. Computed L_max range at bounds: [368, 1000].</t>
  </si>
  <si>
    <t>Line 36: params=[4.57, 3.23, 41.2, 8.079563107, 198.0, None, None]  ERROR: Target L_max=198.0 not within bounds implied by parameter interval [0.0001, 1.0]. Computed L_max range at bounds: [63, 72].</t>
  </si>
  <si>
    <t>Line 37: params=[7.62, 6.01, 31.84, 4.262961683, 853.0, None, None]  ERROR: Target L_max=853.0 not within bounds implied by parameter interval [0.0001, 1.0]. Computed L_max range at bounds: [18, 34].</t>
  </si>
  <si>
    <t>Line 40: params=[8.38, 32.56, 25.97, 4.100805818, 244.0, None, None]  ERROR: Target L_max=244.0 not within bounds implied by parameter interval [0.0001, 1.0]. Computed L_max range at bounds: [14, 18].</t>
  </si>
  <si>
    <t>Line 41: params=[4.57, 15.6, 25.44, 4.100805818, 549.0, None, None]  ERROR: Target L_max=549.0 not within bounds implied by parameter interval [0.0001, 1.0]. Computed L_max range at bounds: [33, 390].</t>
  </si>
  <si>
    <t>Line 42: params=[3.05, 9.23, 17.14, 4.030274212, 152.0, None, None]  ERROR: Target L_max=152.0 not within bounds implied by parameter interval [0.0001, 1.0]. Computed L_max range at bounds: [177, 259].</t>
  </si>
  <si>
    <t>Line 44: params=[6.0, 0.07, 86.0, 8.6, 140.0, None, None]  ERROR: Target L_max=140.0 not within bounds implied by parameter interval [0.0001, 1.0]. Computed L_max range at bounds: [44, 123].</t>
  </si>
  <si>
    <t>Line 54: params=[5.5, 33.0, 25.0, 4.259, 250.0, None, None]  ERROR: Target L_max=250.0 not within bounds implied by parameter interval [0.0001, 1.0]. Computed L_max range at bounds: [12, 37].</t>
  </si>
  <si>
    <t>Line 56: params=[3.0, 230.0, 655.9, 4.737597195, 500.0, None, None]  ERROR: Target L_max=500.0 not within bounds implied by parameter interval [0.0001, 1.0]. Computed L_max range at bounds: [121, 325].</t>
  </si>
  <si>
    <t>Line 58: params=[0.675, 0.01, 21.73, 4.88778647, 420.0, None, None]  ERROR: Target L_max=420.0 not within bounds implied by parameter interval [0.0001, 1.0]. Computed L_max range at bounds: [1, 32].</t>
  </si>
  <si>
    <t>Line 59: params=[1.15, 0.017, 15.381, 4.342577206, 450.0, None, None]  ERROR: Target L_max=450.0 not within bounds implied by parameter interval [0.0001, 1.0]. Computed L_max range at bounds: [2, 105].</t>
  </si>
  <si>
    <t>st</t>
  </si>
  <si>
    <t>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</si>
</sst>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0"/>
  </numFmts>
  <fonts count="3" x14ac:knownFonts="1">
    <font>
      <sz val="11"/>
      <color theme="1"/>
      <name val="Aptos Narrow"/>
      <family val="2"/>
      <scheme val="minor"/>
    </font>
    <font>
      <sz val="11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339CE-38E8-4B15-902C-39C81DAA48F2}">
  <dimension ref="A1:K66"/>
  <sheetViews>
    <sheetView tabSelected="1" workbookViewId="0">
      <selection activeCell="L12" sqref="L12"/>
    </sheetView>
  </sheetViews>
  <sheetFormatPr defaultRowHeight="14.5" x14ac:dyDescent="0.35"/>
  <cols>
    <col min="1" max="3" width="10" customWidth="1"/>
    <col min="4" max="4" width="21.36328125" customWidth="1"/>
    <col min="5" max="7" width="10" customWidth="1"/>
    <col min="8" max="9" width="14" customWidth="1"/>
    <col min="10" max="10" width="10" customWidth="1"/>
  </cols>
  <sheetData>
    <row r="1" spans="1:11" x14ac:dyDescent="0.35">
      <c r="A1" s="2" t="s">
        <v>345</v>
      </c>
      <c r="B1" s="2" t="s">
        <v>344</v>
      </c>
      <c r="C1" s="2" t="s">
        <v>343</v>
      </c>
      <c r="D1" s="2" t="s">
        <v>572</v>
      </c>
      <c r="E1" s="2" t="s">
        <v>342</v>
      </c>
      <c r="F1" s="2" t="s">
        <v>341</v>
      </c>
      <c r="G1" s="2" t="s">
        <v>340</v>
      </c>
      <c r="H1" s="2" t="s">
        <v>339</v>
      </c>
      <c r="I1" s="2" t="s">
        <v>573</v>
      </c>
      <c r="J1" s="2" t="s">
        <v>338</v>
      </c>
    </row>
    <row r="2" spans="1:11" x14ac:dyDescent="0.35">
      <c r="A2" s="1">
        <v>1</v>
      </c>
      <c r="B2" s="1">
        <v>4.5720000000000001</v>
      </c>
      <c r="C2" s="1">
        <v>0.45700000000000002</v>
      </c>
      <c r="D2" s="1">
        <f>2*C2</f>
        <v>0.91400000000000003</v>
      </c>
      <c r="E2" s="1">
        <v>3.55</v>
      </c>
      <c r="F2" s="1">
        <v>6.9</v>
      </c>
      <c r="G2" s="1">
        <v>3.14</v>
      </c>
      <c r="H2" s="1">
        <v>274.32</v>
      </c>
      <c r="I2" s="1">
        <v>1.0150000000000001E-3</v>
      </c>
      <c r="J2" s="1">
        <v>274</v>
      </c>
    </row>
    <row r="3" spans="1:11" x14ac:dyDescent="0.35">
      <c r="A3" s="1">
        <v>2</v>
      </c>
      <c r="B3" s="1">
        <v>1.524</v>
      </c>
      <c r="C3" s="1">
        <v>0.152</v>
      </c>
      <c r="D3" s="1">
        <f t="shared" ref="D3:D41" si="0">2*C3</f>
        <v>0.30399999999999999</v>
      </c>
      <c r="E3" s="1">
        <v>28</v>
      </c>
      <c r="F3" s="1">
        <v>7.1</v>
      </c>
      <c r="G3" s="1">
        <v>3.14</v>
      </c>
      <c r="H3" s="1">
        <v>228.6</v>
      </c>
      <c r="I3" s="1">
        <v>3.1347E-2</v>
      </c>
      <c r="J3" s="1">
        <v>224</v>
      </c>
    </row>
    <row r="4" spans="1:11" x14ac:dyDescent="0.35">
      <c r="A4" s="1">
        <v>3</v>
      </c>
      <c r="B4" s="1">
        <v>3.048</v>
      </c>
      <c r="C4" s="1">
        <v>0.30499999999999999</v>
      </c>
      <c r="D4" s="1">
        <f t="shared" si="0"/>
        <v>0.61</v>
      </c>
      <c r="E4" s="1">
        <v>0.45</v>
      </c>
      <c r="F4" s="1">
        <v>0.8</v>
      </c>
      <c r="G4" s="1">
        <v>3.14</v>
      </c>
      <c r="H4" s="1">
        <v>914.4</v>
      </c>
      <c r="I4" s="1">
        <v>1.34E-4</v>
      </c>
      <c r="J4" s="1">
        <v>913</v>
      </c>
    </row>
    <row r="5" spans="1:11" x14ac:dyDescent="0.35">
      <c r="A5" s="1">
        <v>4</v>
      </c>
      <c r="B5" s="1">
        <v>3.048</v>
      </c>
      <c r="C5" s="1">
        <v>0.30499999999999999</v>
      </c>
      <c r="D5" s="1">
        <f t="shared" si="0"/>
        <v>0.61</v>
      </c>
      <c r="E5" s="1">
        <v>43.28</v>
      </c>
      <c r="F5" s="1">
        <v>12.6</v>
      </c>
      <c r="G5" s="1">
        <v>3.14</v>
      </c>
      <c r="H5" s="1">
        <v>213.36</v>
      </c>
      <c r="I5" s="1">
        <v>9.3840999999999994E-2</v>
      </c>
      <c r="J5" s="1">
        <v>213</v>
      </c>
    </row>
    <row r="6" spans="1:11" x14ac:dyDescent="0.35">
      <c r="A6" s="1">
        <v>5</v>
      </c>
      <c r="B6" s="1">
        <v>1.524</v>
      </c>
      <c r="C6" s="1">
        <v>0.152</v>
      </c>
      <c r="D6" s="1">
        <f t="shared" si="0"/>
        <v>0.30399999999999999</v>
      </c>
      <c r="E6" s="1">
        <v>5.26</v>
      </c>
      <c r="F6" s="1">
        <v>10.9</v>
      </c>
      <c r="G6" s="1">
        <v>3.14</v>
      </c>
      <c r="H6" s="1">
        <v>259.08</v>
      </c>
      <c r="I6" s="1">
        <v>1.08E-4</v>
      </c>
      <c r="J6" s="1">
        <v>258</v>
      </c>
    </row>
    <row r="7" spans="1:11" x14ac:dyDescent="0.35">
      <c r="A7" s="1">
        <v>6</v>
      </c>
      <c r="B7" s="1">
        <v>3.81</v>
      </c>
      <c r="C7" s="1">
        <v>0.38100000000000001</v>
      </c>
      <c r="D7" s="1">
        <f t="shared" si="0"/>
        <v>0.76200000000000001</v>
      </c>
      <c r="E7" s="1">
        <v>4.03</v>
      </c>
      <c r="F7" s="1">
        <v>3.8</v>
      </c>
      <c r="G7" s="1">
        <v>3.14</v>
      </c>
      <c r="H7" s="1">
        <v>91.44</v>
      </c>
      <c r="I7" s="1">
        <v>1.1818E-2</v>
      </c>
      <c r="J7" s="1">
        <v>95</v>
      </c>
    </row>
    <row r="8" spans="1:11" x14ac:dyDescent="0.35">
      <c r="A8" s="1">
        <v>7</v>
      </c>
      <c r="B8" s="1">
        <v>2.286</v>
      </c>
      <c r="C8" s="1">
        <v>0.22900000000000001</v>
      </c>
      <c r="D8" s="1">
        <f t="shared" si="0"/>
        <v>0.45800000000000002</v>
      </c>
      <c r="E8" s="1">
        <v>14.1</v>
      </c>
      <c r="F8" s="1">
        <v>3.7</v>
      </c>
      <c r="G8" s="1">
        <v>3.14</v>
      </c>
      <c r="H8" s="1">
        <v>146.304</v>
      </c>
      <c r="I8" s="1">
        <v>0.25007499999999999</v>
      </c>
      <c r="J8" s="1">
        <v>153</v>
      </c>
      <c r="K8" t="s">
        <v>346</v>
      </c>
    </row>
    <row r="9" spans="1:11" x14ac:dyDescent="0.35">
      <c r="A9" s="1">
        <v>9</v>
      </c>
      <c r="B9" s="1">
        <v>3.81</v>
      </c>
      <c r="C9" s="1">
        <v>0.38100000000000001</v>
      </c>
      <c r="D9" s="1">
        <f t="shared" si="0"/>
        <v>0.76200000000000001</v>
      </c>
      <c r="E9" s="1">
        <v>0.68</v>
      </c>
      <c r="F9" s="1">
        <v>2.1</v>
      </c>
      <c r="G9" s="1">
        <v>3.14</v>
      </c>
      <c r="H9" s="1">
        <v>106.68</v>
      </c>
      <c r="I9" s="1">
        <v>1.0759999999999999E-3</v>
      </c>
      <c r="J9" s="1">
        <v>106</v>
      </c>
    </row>
    <row r="10" spans="1:11" x14ac:dyDescent="0.35">
      <c r="A10" s="1">
        <v>10</v>
      </c>
      <c r="B10" s="1">
        <v>5.3339999999999996</v>
      </c>
      <c r="C10" s="1">
        <v>0.53300000000000003</v>
      </c>
      <c r="D10" s="1">
        <f t="shared" si="0"/>
        <v>1.0660000000000001</v>
      </c>
      <c r="E10" s="1">
        <v>18.27</v>
      </c>
      <c r="F10" s="1">
        <v>1.9</v>
      </c>
      <c r="G10" s="1">
        <v>3.14</v>
      </c>
      <c r="H10" s="1">
        <v>350.52</v>
      </c>
      <c r="I10" s="1">
        <v>2.7437E-2</v>
      </c>
      <c r="J10" s="1">
        <v>345</v>
      </c>
    </row>
    <row r="11" spans="1:11" x14ac:dyDescent="0.35">
      <c r="A11" s="1">
        <v>11</v>
      </c>
      <c r="B11" s="1">
        <v>3.2004000000000001</v>
      </c>
      <c r="C11" s="1">
        <v>0.32</v>
      </c>
      <c r="D11" s="1">
        <f t="shared" si="0"/>
        <v>0.64</v>
      </c>
      <c r="E11" s="1">
        <v>1.806</v>
      </c>
      <c r="F11" s="1">
        <v>5</v>
      </c>
      <c r="G11" s="1">
        <v>3.14</v>
      </c>
      <c r="H11" s="1">
        <v>182.88</v>
      </c>
      <c r="I11" s="1">
        <v>4.66E-4</v>
      </c>
      <c r="J11" s="1">
        <v>183</v>
      </c>
    </row>
    <row r="12" spans="1:11" x14ac:dyDescent="0.35">
      <c r="A12" s="1">
        <v>13</v>
      </c>
      <c r="B12" s="1">
        <v>1.524</v>
      </c>
      <c r="C12" s="1">
        <v>0.152</v>
      </c>
      <c r="D12" s="1">
        <f t="shared" si="0"/>
        <v>0.30399999999999999</v>
      </c>
      <c r="E12" s="1">
        <v>12.84</v>
      </c>
      <c r="F12" s="1">
        <v>6.5</v>
      </c>
      <c r="G12" s="1">
        <v>3.14</v>
      </c>
      <c r="H12" s="1">
        <v>109.72799999999999</v>
      </c>
      <c r="I12" s="1">
        <v>7.9120000000000006E-3</v>
      </c>
      <c r="J12" s="1">
        <v>114</v>
      </c>
    </row>
    <row r="13" spans="1:11" x14ac:dyDescent="0.35">
      <c r="A13" s="1">
        <v>14</v>
      </c>
      <c r="B13" s="1">
        <v>3.81</v>
      </c>
      <c r="C13" s="1">
        <v>0.38100000000000001</v>
      </c>
      <c r="D13" s="1">
        <f t="shared" si="0"/>
        <v>0.76200000000000001</v>
      </c>
      <c r="E13" s="1">
        <v>8.18</v>
      </c>
      <c r="F13" s="1">
        <v>8.6</v>
      </c>
      <c r="G13" s="1">
        <v>3.14</v>
      </c>
      <c r="H13" s="1">
        <v>219.45599999999999</v>
      </c>
      <c r="I13" s="1">
        <v>2.7850000000000001E-3</v>
      </c>
      <c r="J13" s="1">
        <v>217</v>
      </c>
    </row>
    <row r="14" spans="1:11" x14ac:dyDescent="0.35">
      <c r="A14" s="1">
        <v>15</v>
      </c>
      <c r="B14" s="1">
        <v>1.524</v>
      </c>
      <c r="C14" s="1">
        <v>0.152</v>
      </c>
      <c r="D14" s="1">
        <f t="shared" si="0"/>
        <v>0.30399999999999999</v>
      </c>
      <c r="E14" s="1">
        <v>13.8</v>
      </c>
      <c r="F14" s="1">
        <v>9</v>
      </c>
      <c r="G14" s="1">
        <v>3.14</v>
      </c>
      <c r="H14" s="1">
        <v>96.012</v>
      </c>
      <c r="I14" s="1">
        <v>4.006E-3</v>
      </c>
      <c r="J14" s="1">
        <v>106</v>
      </c>
    </row>
    <row r="15" spans="1:11" x14ac:dyDescent="0.35">
      <c r="A15" s="1">
        <v>16</v>
      </c>
      <c r="B15" s="1">
        <v>3.048</v>
      </c>
      <c r="C15" s="1">
        <v>0.30499999999999999</v>
      </c>
      <c r="D15" s="1">
        <f t="shared" si="0"/>
        <v>0.61</v>
      </c>
      <c r="E15" s="1">
        <v>13.118</v>
      </c>
      <c r="F15" s="1">
        <v>9.3000000000000007</v>
      </c>
      <c r="G15" s="1">
        <v>3.14</v>
      </c>
      <c r="H15" s="1">
        <v>53.34</v>
      </c>
      <c r="I15" s="1">
        <v>6.2593999999999997E-2</v>
      </c>
      <c r="J15" s="1">
        <v>51</v>
      </c>
    </row>
    <row r="16" spans="1:11" x14ac:dyDescent="0.35">
      <c r="A16" s="1">
        <v>18</v>
      </c>
      <c r="B16" s="1">
        <v>3.81</v>
      </c>
      <c r="C16" s="1">
        <v>0.38100000000000001</v>
      </c>
      <c r="D16" s="1">
        <f t="shared" si="0"/>
        <v>0.76200000000000001</v>
      </c>
      <c r="E16" s="1">
        <v>22.9</v>
      </c>
      <c r="F16" s="1">
        <v>8.3000000000000007</v>
      </c>
      <c r="G16" s="1">
        <v>3.14</v>
      </c>
      <c r="H16" s="1">
        <v>914.4</v>
      </c>
      <c r="I16" s="1">
        <v>4.4939999999999997E-3</v>
      </c>
      <c r="J16" s="1">
        <v>921</v>
      </c>
    </row>
    <row r="17" spans="1:11" x14ac:dyDescent="0.35">
      <c r="A17" s="1">
        <v>21</v>
      </c>
      <c r="B17" s="1">
        <v>2.286</v>
      </c>
      <c r="C17" s="1">
        <v>0.22900000000000001</v>
      </c>
      <c r="D17" s="1">
        <f t="shared" si="0"/>
        <v>0.45800000000000002</v>
      </c>
      <c r="E17" s="1">
        <v>0.46899999999999997</v>
      </c>
      <c r="F17" s="1">
        <v>11.2</v>
      </c>
      <c r="G17" s="1">
        <v>3.14</v>
      </c>
      <c r="H17" s="1">
        <v>60.96</v>
      </c>
      <c r="I17" s="3">
        <v>1E-4</v>
      </c>
      <c r="J17" s="1">
        <v>61</v>
      </c>
    </row>
    <row r="18" spans="1:11" x14ac:dyDescent="0.35">
      <c r="A18" s="1">
        <v>22</v>
      </c>
      <c r="B18" s="1">
        <v>2.286</v>
      </c>
      <c r="C18" s="1">
        <v>0.22900000000000001</v>
      </c>
      <c r="D18" s="1">
        <f t="shared" si="0"/>
        <v>0.45800000000000002</v>
      </c>
      <c r="E18" s="1">
        <v>20.95</v>
      </c>
      <c r="F18" s="1">
        <v>8.52</v>
      </c>
      <c r="G18" s="1">
        <v>3.14</v>
      </c>
      <c r="H18" s="1">
        <v>106.68</v>
      </c>
      <c r="I18" s="1">
        <v>6.2593999999999997E-2</v>
      </c>
      <c r="J18" s="1">
        <v>104</v>
      </c>
    </row>
    <row r="19" spans="1:11" x14ac:dyDescent="0.35">
      <c r="A19" s="1">
        <v>23</v>
      </c>
      <c r="B19" s="1">
        <v>11</v>
      </c>
      <c r="C19" s="1">
        <v>1.1000000000000001</v>
      </c>
      <c r="D19" s="1">
        <f t="shared" si="0"/>
        <v>2.2000000000000002</v>
      </c>
      <c r="E19" s="1">
        <v>4.2460000000000004</v>
      </c>
      <c r="F19" s="1">
        <v>7.9</v>
      </c>
      <c r="G19" s="1">
        <v>3.14</v>
      </c>
      <c r="H19" s="1">
        <v>420</v>
      </c>
      <c r="I19" s="1">
        <v>4.0489999999999996E-3</v>
      </c>
      <c r="J19" s="1">
        <v>412</v>
      </c>
    </row>
    <row r="20" spans="1:11" x14ac:dyDescent="0.35">
      <c r="A20" s="1">
        <v>24</v>
      </c>
      <c r="B20" s="1">
        <v>3.048</v>
      </c>
      <c r="C20" s="1">
        <v>0.30499999999999999</v>
      </c>
      <c r="D20" s="1">
        <f t="shared" si="0"/>
        <v>0.61</v>
      </c>
      <c r="E20" s="1">
        <v>67</v>
      </c>
      <c r="F20" s="1">
        <v>3.7</v>
      </c>
      <c r="G20" s="1">
        <v>3.14</v>
      </c>
      <c r="H20" s="1">
        <v>207.26400000000001</v>
      </c>
      <c r="I20" s="1">
        <v>3.1972E-2</v>
      </c>
      <c r="J20" s="1">
        <v>214</v>
      </c>
    </row>
    <row r="21" spans="1:11" x14ac:dyDescent="0.35">
      <c r="A21" s="1">
        <v>27</v>
      </c>
      <c r="B21" s="1">
        <v>2.1335999999999999</v>
      </c>
      <c r="C21" s="1">
        <v>0.21299999999999999</v>
      </c>
      <c r="D21" s="1">
        <f t="shared" si="0"/>
        <v>0.42599999999999999</v>
      </c>
      <c r="E21" s="1">
        <v>1.504</v>
      </c>
      <c r="F21" s="1">
        <v>2.4</v>
      </c>
      <c r="G21" s="1">
        <v>3.14</v>
      </c>
      <c r="H21" s="1">
        <v>396.24</v>
      </c>
      <c r="I21" s="1">
        <v>1.92E-4</v>
      </c>
      <c r="J21" s="1">
        <v>403</v>
      </c>
    </row>
    <row r="22" spans="1:11" x14ac:dyDescent="0.35">
      <c r="A22" s="1">
        <v>30</v>
      </c>
      <c r="B22" s="1">
        <v>1.5249999999999999</v>
      </c>
      <c r="C22" s="1">
        <v>0.152</v>
      </c>
      <c r="D22" s="1">
        <f t="shared" si="0"/>
        <v>0.30399999999999999</v>
      </c>
      <c r="E22" s="1">
        <v>5.22</v>
      </c>
      <c r="F22" s="1">
        <v>5.7</v>
      </c>
      <c r="G22" s="1">
        <v>3.14</v>
      </c>
      <c r="H22" s="1">
        <v>152</v>
      </c>
      <c r="I22" s="1">
        <v>5.8799999999999998E-4</v>
      </c>
      <c r="J22" s="1">
        <v>161</v>
      </c>
    </row>
    <row r="23" spans="1:11" x14ac:dyDescent="0.35">
      <c r="A23" s="1">
        <v>31</v>
      </c>
      <c r="B23" s="1">
        <v>4.57</v>
      </c>
      <c r="C23" s="1">
        <v>0.45700000000000002</v>
      </c>
      <c r="D23" s="1">
        <f t="shared" si="0"/>
        <v>0.91400000000000003</v>
      </c>
      <c r="E23" s="1">
        <v>9.23</v>
      </c>
      <c r="F23" s="1">
        <v>2.8</v>
      </c>
      <c r="G23" s="1">
        <v>3.14</v>
      </c>
      <c r="H23" s="1">
        <v>366</v>
      </c>
      <c r="I23" s="1">
        <v>5.4781999999999997E-2</v>
      </c>
      <c r="J23" s="1">
        <v>368</v>
      </c>
    </row>
    <row r="24" spans="1:11" x14ac:dyDescent="0.35">
      <c r="A24" s="1">
        <v>34</v>
      </c>
      <c r="B24" s="1">
        <v>1.5249999999999999</v>
      </c>
      <c r="C24" s="1">
        <v>0.152</v>
      </c>
      <c r="D24" s="1">
        <f t="shared" si="0"/>
        <v>0.30399999999999999</v>
      </c>
      <c r="E24" s="1">
        <v>48.65</v>
      </c>
      <c r="F24" s="1">
        <v>0.42</v>
      </c>
      <c r="G24" s="1">
        <v>3.14</v>
      </c>
      <c r="H24" s="1">
        <v>85</v>
      </c>
      <c r="I24" s="1">
        <v>3.4597000000000003E-2</v>
      </c>
      <c r="J24" s="1">
        <v>91</v>
      </c>
    </row>
    <row r="25" spans="1:11" x14ac:dyDescent="0.35">
      <c r="A25" s="1">
        <v>35</v>
      </c>
      <c r="B25" s="1">
        <v>5.335</v>
      </c>
      <c r="C25" s="1">
        <v>0.53300000000000003</v>
      </c>
      <c r="D25" s="1">
        <f t="shared" si="0"/>
        <v>1.0660000000000001</v>
      </c>
      <c r="E25" s="1">
        <v>18.27</v>
      </c>
      <c r="F25" s="1">
        <v>1.9</v>
      </c>
      <c r="G25" s="1">
        <v>3.14</v>
      </c>
      <c r="H25" s="1">
        <v>229</v>
      </c>
      <c r="I25" s="1">
        <v>3.7182E-2</v>
      </c>
      <c r="J25" s="1">
        <v>235</v>
      </c>
    </row>
    <row r="26" spans="1:11" x14ac:dyDescent="0.35">
      <c r="A26" s="1">
        <v>36</v>
      </c>
      <c r="B26" s="1">
        <v>4.57</v>
      </c>
      <c r="C26" s="1">
        <v>0.45700000000000002</v>
      </c>
      <c r="D26" s="1">
        <f t="shared" si="0"/>
        <v>0.91400000000000003</v>
      </c>
      <c r="E26" s="1">
        <v>3.23</v>
      </c>
      <c r="F26" s="1">
        <v>0.1</v>
      </c>
      <c r="G26" s="1">
        <v>3.14</v>
      </c>
      <c r="H26" s="1">
        <v>198</v>
      </c>
      <c r="I26" s="3">
        <v>2.2339999999999999E-2</v>
      </c>
      <c r="J26" s="1">
        <v>200</v>
      </c>
    </row>
    <row r="27" spans="1:11" x14ac:dyDescent="0.35">
      <c r="A27" s="1">
        <v>38</v>
      </c>
      <c r="B27" s="1">
        <v>1.22</v>
      </c>
      <c r="C27" s="1">
        <v>0.122</v>
      </c>
      <c r="D27" s="1">
        <f t="shared" si="0"/>
        <v>0.24399999999999999</v>
      </c>
      <c r="E27" s="1">
        <v>0.96</v>
      </c>
      <c r="F27" s="1">
        <v>3.9</v>
      </c>
      <c r="G27" s="1">
        <v>3.14</v>
      </c>
      <c r="H27" s="1">
        <v>30</v>
      </c>
      <c r="I27" s="1">
        <v>5.8799999999999998E-4</v>
      </c>
      <c r="J27" s="1">
        <v>20</v>
      </c>
    </row>
    <row r="28" spans="1:11" x14ac:dyDescent="0.35">
      <c r="A28" s="1">
        <v>39</v>
      </c>
      <c r="B28" s="1">
        <v>1.22</v>
      </c>
      <c r="C28" s="1">
        <v>0.122</v>
      </c>
      <c r="D28" s="1">
        <f t="shared" si="0"/>
        <v>0.24399999999999999</v>
      </c>
      <c r="E28" s="1">
        <v>13.8</v>
      </c>
      <c r="F28" s="1">
        <v>7.6</v>
      </c>
      <c r="G28" s="1">
        <v>3.14</v>
      </c>
      <c r="H28" s="1">
        <v>64</v>
      </c>
      <c r="I28" s="1">
        <v>1.5723000000000001E-2</v>
      </c>
      <c r="J28" s="1">
        <v>59</v>
      </c>
    </row>
    <row r="29" spans="1:11" x14ac:dyDescent="0.35">
      <c r="A29" s="1">
        <v>40</v>
      </c>
      <c r="B29" s="1">
        <v>8.3800000000000008</v>
      </c>
      <c r="C29" s="1">
        <v>0.83799999999999997</v>
      </c>
      <c r="D29" s="1">
        <f t="shared" si="0"/>
        <v>1.6759999999999999</v>
      </c>
      <c r="E29" s="1">
        <v>32.56</v>
      </c>
      <c r="F29" s="1">
        <v>9.82</v>
      </c>
      <c r="G29" s="1">
        <v>3.14</v>
      </c>
      <c r="H29" s="1">
        <v>244</v>
      </c>
      <c r="I29" s="4">
        <v>1</v>
      </c>
      <c r="J29" s="1">
        <v>243</v>
      </c>
      <c r="K29" t="s">
        <v>346</v>
      </c>
    </row>
    <row r="30" spans="1:11" x14ac:dyDescent="0.35">
      <c r="A30" s="1">
        <v>41</v>
      </c>
      <c r="B30" s="1">
        <v>4.57</v>
      </c>
      <c r="C30" s="1">
        <v>0.45700000000000002</v>
      </c>
      <c r="D30" s="1">
        <f t="shared" si="0"/>
        <v>0.91400000000000003</v>
      </c>
      <c r="E30" s="1">
        <v>15.6</v>
      </c>
      <c r="F30" s="1">
        <v>10.43</v>
      </c>
      <c r="G30" s="1">
        <v>3.14</v>
      </c>
      <c r="H30" s="1">
        <v>549</v>
      </c>
      <c r="I30" s="1">
        <v>3.1510000000000002E-3</v>
      </c>
      <c r="J30" s="1">
        <v>545</v>
      </c>
    </row>
    <row r="31" spans="1:11" x14ac:dyDescent="0.35">
      <c r="A31" s="1">
        <v>42</v>
      </c>
      <c r="B31" s="1">
        <v>3.05</v>
      </c>
      <c r="C31" s="1">
        <v>0.30499999999999999</v>
      </c>
      <c r="D31" s="1">
        <f t="shared" si="0"/>
        <v>0.61</v>
      </c>
      <c r="E31" s="1">
        <v>9.23</v>
      </c>
      <c r="F31" s="1">
        <v>7.7</v>
      </c>
      <c r="G31" s="1">
        <v>3.14</v>
      </c>
      <c r="H31" s="1">
        <v>152</v>
      </c>
      <c r="I31" s="1">
        <v>4.9820000000000003E-3</v>
      </c>
      <c r="J31" s="1">
        <v>149</v>
      </c>
    </row>
    <row r="32" spans="1:11" x14ac:dyDescent="0.35">
      <c r="A32" s="1">
        <v>43</v>
      </c>
      <c r="B32" s="1">
        <v>1.83</v>
      </c>
      <c r="C32" s="1">
        <v>0.183</v>
      </c>
      <c r="D32" s="1">
        <f t="shared" si="0"/>
        <v>0.36599999999999999</v>
      </c>
      <c r="E32" s="1">
        <v>3.13</v>
      </c>
      <c r="F32" s="1">
        <v>8</v>
      </c>
      <c r="G32" s="1">
        <v>3.14</v>
      </c>
      <c r="H32" s="1">
        <v>96</v>
      </c>
      <c r="I32" s="1">
        <v>3.4400000000000001E-4</v>
      </c>
      <c r="J32" s="1">
        <v>100</v>
      </c>
    </row>
    <row r="33" spans="1:11" x14ac:dyDescent="0.35">
      <c r="A33" s="1">
        <v>46</v>
      </c>
      <c r="B33" s="1">
        <v>6</v>
      </c>
      <c r="C33" s="1">
        <v>0.6</v>
      </c>
      <c r="D33" s="1">
        <f t="shared" si="0"/>
        <v>1.2</v>
      </c>
      <c r="E33" s="1">
        <v>1.3</v>
      </c>
      <c r="F33" s="1">
        <v>1</v>
      </c>
      <c r="G33" s="1">
        <v>3.17</v>
      </c>
      <c r="H33" s="1">
        <v>120</v>
      </c>
      <c r="I33" s="1">
        <v>4.1079999999999998E-2</v>
      </c>
      <c r="J33" s="1">
        <v>116</v>
      </c>
    </row>
    <row r="34" spans="1:11" x14ac:dyDescent="0.35">
      <c r="A34" s="1">
        <v>47</v>
      </c>
      <c r="B34" s="1">
        <v>6</v>
      </c>
      <c r="C34" s="1">
        <v>0.6</v>
      </c>
      <c r="D34" s="1">
        <f t="shared" si="0"/>
        <v>1.2</v>
      </c>
      <c r="E34" s="1">
        <v>2.4</v>
      </c>
      <c r="F34" s="1">
        <v>2</v>
      </c>
      <c r="G34" s="1">
        <v>3.17</v>
      </c>
      <c r="H34" s="1">
        <v>90</v>
      </c>
      <c r="I34" s="1">
        <v>6.4468999999999999E-2</v>
      </c>
      <c r="J34" s="1">
        <v>81</v>
      </c>
    </row>
    <row r="35" spans="1:11" x14ac:dyDescent="0.35">
      <c r="A35" s="1">
        <v>48</v>
      </c>
      <c r="B35" s="1">
        <v>6</v>
      </c>
      <c r="C35" s="1">
        <v>0.6</v>
      </c>
      <c r="D35" s="1">
        <f t="shared" si="0"/>
        <v>1.2</v>
      </c>
      <c r="E35" s="1">
        <v>1.4</v>
      </c>
      <c r="F35" s="1">
        <v>2</v>
      </c>
      <c r="G35" s="1">
        <v>3.17</v>
      </c>
      <c r="H35" s="1">
        <v>60</v>
      </c>
      <c r="I35" s="1">
        <v>3.3284000000000001E-2</v>
      </c>
      <c r="J35" s="1">
        <v>50</v>
      </c>
    </row>
    <row r="36" spans="1:11" x14ac:dyDescent="0.35">
      <c r="A36" s="1">
        <v>49</v>
      </c>
      <c r="B36" s="1">
        <v>6</v>
      </c>
      <c r="C36" s="1">
        <v>0.6</v>
      </c>
      <c r="D36" s="1">
        <f t="shared" si="0"/>
        <v>1.2</v>
      </c>
      <c r="E36" s="1">
        <v>0.7</v>
      </c>
      <c r="F36" s="1">
        <v>2</v>
      </c>
      <c r="G36" s="1">
        <v>3.17</v>
      </c>
      <c r="H36" s="1">
        <v>90</v>
      </c>
      <c r="I36" s="1">
        <v>4.0489999999999996E-3</v>
      </c>
      <c r="J36" s="1">
        <v>85</v>
      </c>
    </row>
    <row r="37" spans="1:11" x14ac:dyDescent="0.35">
      <c r="A37" s="1">
        <v>50</v>
      </c>
      <c r="B37" s="1">
        <v>50</v>
      </c>
      <c r="C37" s="1">
        <v>5</v>
      </c>
      <c r="D37" s="1">
        <f t="shared" si="0"/>
        <v>10</v>
      </c>
      <c r="E37" s="1">
        <v>0.25</v>
      </c>
      <c r="F37" s="1">
        <v>1</v>
      </c>
      <c r="G37" s="1">
        <v>3.08</v>
      </c>
      <c r="H37" s="1">
        <v>150</v>
      </c>
      <c r="I37" s="1">
        <v>0.108339</v>
      </c>
      <c r="J37" s="1">
        <v>146</v>
      </c>
      <c r="K37" t="s">
        <v>346</v>
      </c>
    </row>
    <row r="38" spans="1:11" x14ac:dyDescent="0.35">
      <c r="A38" s="1">
        <v>51</v>
      </c>
      <c r="B38" s="1">
        <v>50</v>
      </c>
      <c r="C38" s="1">
        <v>5</v>
      </c>
      <c r="D38" s="1">
        <f t="shared" si="0"/>
        <v>10</v>
      </c>
      <c r="E38" s="1">
        <v>0.4</v>
      </c>
      <c r="F38" s="1">
        <v>1</v>
      </c>
      <c r="G38" s="1">
        <v>3.17</v>
      </c>
      <c r="H38" s="1">
        <v>100</v>
      </c>
      <c r="I38" s="1">
        <v>0.50804899999999997</v>
      </c>
      <c r="J38" s="1">
        <v>92</v>
      </c>
      <c r="K38" t="s">
        <v>346</v>
      </c>
    </row>
    <row r="39" spans="1:11" x14ac:dyDescent="0.35">
      <c r="A39" s="1">
        <v>52</v>
      </c>
      <c r="B39" s="1">
        <v>7.5</v>
      </c>
      <c r="C39" s="1">
        <v>0.75</v>
      </c>
      <c r="D39" s="1">
        <f t="shared" si="0"/>
        <v>1.5</v>
      </c>
      <c r="E39" s="1">
        <v>0.31</v>
      </c>
      <c r="F39" s="1">
        <v>1</v>
      </c>
      <c r="G39" s="1">
        <v>3.14</v>
      </c>
      <c r="H39" s="1">
        <v>160</v>
      </c>
      <c r="I39" s="1">
        <v>2.5869999999999999E-3</v>
      </c>
      <c r="J39" s="1">
        <v>154</v>
      </c>
    </row>
    <row r="40" spans="1:11" x14ac:dyDescent="0.35">
      <c r="A40" s="1">
        <v>55</v>
      </c>
      <c r="B40" s="1">
        <v>3.7</v>
      </c>
      <c r="C40" s="1">
        <v>0.37</v>
      </c>
      <c r="D40" s="1">
        <f t="shared" si="0"/>
        <v>0.74</v>
      </c>
      <c r="E40" s="1">
        <v>123</v>
      </c>
      <c r="F40" s="1">
        <v>1.6</v>
      </c>
      <c r="G40" s="1">
        <v>3.08</v>
      </c>
      <c r="H40" s="1">
        <v>200</v>
      </c>
      <c r="I40" s="1">
        <v>1.7347999999999999E-2</v>
      </c>
      <c r="J40" s="1">
        <v>198</v>
      </c>
    </row>
    <row r="41" spans="1:11" x14ac:dyDescent="0.35">
      <c r="A41" s="1">
        <v>56</v>
      </c>
      <c r="B41" s="1">
        <v>3</v>
      </c>
      <c r="C41" s="1">
        <v>0.3</v>
      </c>
      <c r="D41" s="1">
        <f t="shared" si="0"/>
        <v>0.6</v>
      </c>
      <c r="E41" s="1">
        <v>230</v>
      </c>
      <c r="F41" s="1">
        <v>0.6</v>
      </c>
      <c r="G41" s="1">
        <v>3.14</v>
      </c>
      <c r="H41" s="1">
        <v>500</v>
      </c>
      <c r="I41" s="1">
        <v>4.9979999999999998E-3</v>
      </c>
      <c r="J41" s="1">
        <v>497</v>
      </c>
    </row>
    <row r="45" spans="1:11" x14ac:dyDescent="0.35">
      <c r="A45" t="s">
        <v>1</v>
      </c>
      <c r="B45" t="s">
        <v>0</v>
      </c>
      <c r="C45" t="s">
        <v>0</v>
      </c>
      <c r="D45" t="s">
        <v>0</v>
      </c>
      <c r="E45" t="s">
        <v>0</v>
      </c>
      <c r="F45" t="s">
        <v>0</v>
      </c>
      <c r="G45" t="s">
        <v>0</v>
      </c>
      <c r="H45" t="s">
        <v>0</v>
      </c>
      <c r="I45" t="s">
        <v>0</v>
      </c>
    </row>
    <row r="46" spans="1:11" x14ac:dyDescent="0.35">
      <c r="A46" t="s">
        <v>2</v>
      </c>
      <c r="B46" t="s">
        <v>3</v>
      </c>
      <c r="C46" t="s">
        <v>4</v>
      </c>
      <c r="D46" t="s">
        <v>5</v>
      </c>
      <c r="E46" t="s">
        <v>6</v>
      </c>
      <c r="F46" t="s">
        <v>7</v>
      </c>
      <c r="G46" t="s">
        <v>8</v>
      </c>
      <c r="H46" t="s">
        <v>9</v>
      </c>
      <c r="I46" t="s">
        <v>10</v>
      </c>
    </row>
    <row r="47" spans="1:11" x14ac:dyDescent="0.35">
      <c r="A47" t="s">
        <v>11</v>
      </c>
      <c r="B47" t="s">
        <v>12</v>
      </c>
      <c r="C47" t="s">
        <v>13</v>
      </c>
      <c r="D47" t="s">
        <v>5</v>
      </c>
      <c r="E47" t="s">
        <v>14</v>
      </c>
      <c r="F47" t="s">
        <v>7</v>
      </c>
      <c r="G47" t="s">
        <v>15</v>
      </c>
      <c r="H47" t="s">
        <v>16</v>
      </c>
      <c r="I47" t="s">
        <v>17</v>
      </c>
    </row>
    <row r="48" spans="1:11" x14ac:dyDescent="0.35">
      <c r="A48" t="s">
        <v>18</v>
      </c>
      <c r="B48" t="s">
        <v>19</v>
      </c>
      <c r="C48" t="s">
        <v>20</v>
      </c>
      <c r="D48" t="s">
        <v>5</v>
      </c>
      <c r="E48" t="s">
        <v>21</v>
      </c>
      <c r="F48" t="s">
        <v>7</v>
      </c>
      <c r="G48" t="s">
        <v>22</v>
      </c>
      <c r="H48" t="s">
        <v>23</v>
      </c>
      <c r="I48" t="s">
        <v>10</v>
      </c>
    </row>
    <row r="49" spans="1:9" x14ac:dyDescent="0.35">
      <c r="A49" t="s">
        <v>24</v>
      </c>
      <c r="B49" t="s">
        <v>25</v>
      </c>
      <c r="C49" t="s">
        <v>26</v>
      </c>
      <c r="D49" t="s">
        <v>5</v>
      </c>
      <c r="E49" t="s">
        <v>27</v>
      </c>
      <c r="F49" t="s">
        <v>7</v>
      </c>
      <c r="G49" t="s">
        <v>28</v>
      </c>
      <c r="H49" t="s">
        <v>29</v>
      </c>
      <c r="I49" t="s">
        <v>10</v>
      </c>
    </row>
    <row r="50" spans="1:9" x14ac:dyDescent="0.35">
      <c r="A50" t="s">
        <v>30</v>
      </c>
      <c r="B50" t="s">
        <v>31</v>
      </c>
      <c r="C50" t="s">
        <v>32</v>
      </c>
      <c r="D50" t="s">
        <v>5</v>
      </c>
      <c r="E50" t="s">
        <v>33</v>
      </c>
      <c r="F50" t="s">
        <v>7</v>
      </c>
      <c r="G50" t="s">
        <v>34</v>
      </c>
      <c r="H50" t="s">
        <v>35</v>
      </c>
      <c r="I50" t="s">
        <v>10</v>
      </c>
    </row>
    <row r="51" spans="1:9" x14ac:dyDescent="0.35">
      <c r="A51" t="s">
        <v>36</v>
      </c>
      <c r="B51" t="s">
        <v>37</v>
      </c>
      <c r="C51" t="s">
        <v>38</v>
      </c>
      <c r="D51" t="s">
        <v>5</v>
      </c>
      <c r="E51" t="s">
        <v>39</v>
      </c>
      <c r="F51" t="s">
        <v>7</v>
      </c>
      <c r="G51" t="s">
        <v>40</v>
      </c>
      <c r="H51" t="s">
        <v>16</v>
      </c>
      <c r="I51" t="s">
        <v>41</v>
      </c>
    </row>
    <row r="52" spans="1:9" x14ac:dyDescent="0.35">
      <c r="A52" t="s">
        <v>42</v>
      </c>
      <c r="B52" t="s">
        <v>43</v>
      </c>
      <c r="C52" t="s">
        <v>44</v>
      </c>
      <c r="D52" t="s">
        <v>5</v>
      </c>
      <c r="E52" t="s">
        <v>45</v>
      </c>
      <c r="F52" t="s">
        <v>7</v>
      </c>
      <c r="G52" t="s">
        <v>46</v>
      </c>
      <c r="H52" t="s">
        <v>47</v>
      </c>
      <c r="I52" t="s">
        <v>10</v>
      </c>
    </row>
    <row r="53" spans="1:9" x14ac:dyDescent="0.35">
      <c r="A53" t="s">
        <v>48</v>
      </c>
      <c r="B53" t="s">
        <v>49</v>
      </c>
      <c r="C53" t="s">
        <v>44</v>
      </c>
      <c r="D53" t="s">
        <v>5</v>
      </c>
      <c r="E53" t="s">
        <v>50</v>
      </c>
      <c r="F53" t="s">
        <v>7</v>
      </c>
      <c r="G53" t="s">
        <v>51</v>
      </c>
      <c r="H53" t="s">
        <v>52</v>
      </c>
      <c r="I53" t="s">
        <v>53</v>
      </c>
    </row>
    <row r="54" spans="1:9" x14ac:dyDescent="0.35">
      <c r="A54" t="s">
        <v>54</v>
      </c>
      <c r="B54" t="s">
        <v>55</v>
      </c>
      <c r="C54" t="s">
        <v>56</v>
      </c>
      <c r="D54" t="s">
        <v>5</v>
      </c>
      <c r="E54" t="s">
        <v>57</v>
      </c>
      <c r="F54" t="s">
        <v>7</v>
      </c>
      <c r="G54" t="s">
        <v>58</v>
      </c>
      <c r="H54" t="s">
        <v>0</v>
      </c>
      <c r="I54" t="s">
        <v>0</v>
      </c>
    </row>
    <row r="55" spans="1:9" x14ac:dyDescent="0.35">
      <c r="A55" t="s">
        <v>59</v>
      </c>
      <c r="B55" t="s">
        <v>60</v>
      </c>
      <c r="C55" t="s">
        <v>61</v>
      </c>
      <c r="D55" t="s">
        <v>5</v>
      </c>
      <c r="E55" t="s">
        <v>62</v>
      </c>
      <c r="F55" t="s">
        <v>7</v>
      </c>
      <c r="G55" t="s">
        <v>63</v>
      </c>
      <c r="H55" t="s">
        <v>64</v>
      </c>
      <c r="I55" t="s">
        <v>10</v>
      </c>
    </row>
    <row r="56" spans="1:9" x14ac:dyDescent="0.35">
      <c r="A56" t="s">
        <v>65</v>
      </c>
      <c r="B56" t="s">
        <v>66</v>
      </c>
      <c r="C56" t="s">
        <v>67</v>
      </c>
      <c r="D56" t="s">
        <v>5</v>
      </c>
      <c r="E56" t="s">
        <v>68</v>
      </c>
      <c r="F56" t="s">
        <v>7</v>
      </c>
      <c r="G56" t="s">
        <v>69</v>
      </c>
      <c r="H56" t="s">
        <v>16</v>
      </c>
      <c r="I56" t="s">
        <v>70</v>
      </c>
    </row>
    <row r="57" spans="1:9" x14ac:dyDescent="0.35">
      <c r="A57" t="s">
        <v>71</v>
      </c>
      <c r="B57" t="s">
        <v>72</v>
      </c>
      <c r="C57" t="s">
        <v>73</v>
      </c>
      <c r="D57" t="s">
        <v>5</v>
      </c>
      <c r="E57" t="s">
        <v>74</v>
      </c>
      <c r="F57" t="s">
        <v>7</v>
      </c>
      <c r="G57" t="s">
        <v>75</v>
      </c>
      <c r="H57" t="s">
        <v>76</v>
      </c>
      <c r="I57" t="s">
        <v>77</v>
      </c>
    </row>
    <row r="58" spans="1:9" x14ac:dyDescent="0.35">
      <c r="A58" t="s">
        <v>78</v>
      </c>
      <c r="B58" t="s">
        <v>79</v>
      </c>
      <c r="C58" t="s">
        <v>80</v>
      </c>
      <c r="D58" t="s">
        <v>81</v>
      </c>
      <c r="E58" t="s">
        <v>82</v>
      </c>
      <c r="F58" t="s">
        <v>7</v>
      </c>
      <c r="G58" t="s">
        <v>83</v>
      </c>
      <c r="H58" t="s">
        <v>84</v>
      </c>
      <c r="I58" t="s">
        <v>85</v>
      </c>
    </row>
    <row r="59" spans="1:9" x14ac:dyDescent="0.35">
      <c r="A59" t="s">
        <v>86</v>
      </c>
      <c r="B59" t="s">
        <v>87</v>
      </c>
      <c r="C59" t="s">
        <v>80</v>
      </c>
      <c r="D59" t="s">
        <v>88</v>
      </c>
      <c r="E59" t="s">
        <v>89</v>
      </c>
      <c r="F59" t="s">
        <v>7</v>
      </c>
      <c r="G59" t="s">
        <v>90</v>
      </c>
      <c r="H59" t="s">
        <v>16</v>
      </c>
      <c r="I59" t="s">
        <v>91</v>
      </c>
    </row>
    <row r="60" spans="1:9" x14ac:dyDescent="0.35">
      <c r="A60" t="s">
        <v>92</v>
      </c>
      <c r="B60" t="s">
        <v>93</v>
      </c>
      <c r="C60" t="s">
        <v>26</v>
      </c>
      <c r="D60" t="s">
        <v>5</v>
      </c>
      <c r="E60" t="s">
        <v>94</v>
      </c>
      <c r="F60" t="s">
        <v>7</v>
      </c>
      <c r="G60" t="s">
        <v>95</v>
      </c>
      <c r="H60" t="s">
        <v>16</v>
      </c>
      <c r="I60" t="s">
        <v>96</v>
      </c>
    </row>
    <row r="61" spans="1:9" x14ac:dyDescent="0.35">
      <c r="A61" t="s">
        <v>97</v>
      </c>
      <c r="B61" t="s">
        <v>98</v>
      </c>
      <c r="C61" t="s">
        <v>26</v>
      </c>
      <c r="D61" t="s">
        <v>5</v>
      </c>
      <c r="E61" t="s">
        <v>99</v>
      </c>
      <c r="F61" t="s">
        <v>7</v>
      </c>
      <c r="G61" t="s">
        <v>100</v>
      </c>
      <c r="H61" t="s">
        <v>101</v>
      </c>
      <c r="I61" t="s">
        <v>10</v>
      </c>
    </row>
    <row r="62" spans="1:9" x14ac:dyDescent="0.35">
      <c r="A62" t="s">
        <v>102</v>
      </c>
      <c r="B62" t="s">
        <v>93</v>
      </c>
      <c r="C62" t="s">
        <v>103</v>
      </c>
      <c r="D62" t="s">
        <v>104</v>
      </c>
      <c r="E62" t="s">
        <v>105</v>
      </c>
      <c r="F62" t="s">
        <v>7</v>
      </c>
      <c r="G62" t="s">
        <v>106</v>
      </c>
      <c r="H62" t="s">
        <v>16</v>
      </c>
      <c r="I62" t="s">
        <v>107</v>
      </c>
    </row>
    <row r="63" spans="1:9" x14ac:dyDescent="0.35">
      <c r="A63" t="s">
        <v>108</v>
      </c>
      <c r="B63" t="s">
        <v>93</v>
      </c>
      <c r="C63" t="s">
        <v>109</v>
      </c>
      <c r="D63" t="s">
        <v>104</v>
      </c>
      <c r="E63" t="s">
        <v>110</v>
      </c>
      <c r="F63" t="s">
        <v>7</v>
      </c>
      <c r="G63" t="s">
        <v>111</v>
      </c>
      <c r="H63" t="s">
        <v>16</v>
      </c>
      <c r="I63" t="s">
        <v>112</v>
      </c>
    </row>
    <row r="64" spans="1:9" x14ac:dyDescent="0.35">
      <c r="A64" t="s">
        <v>113</v>
      </c>
      <c r="B64" t="s">
        <v>114</v>
      </c>
      <c r="C64" t="s">
        <v>115</v>
      </c>
      <c r="D64" t="s">
        <v>104</v>
      </c>
      <c r="E64" t="s">
        <v>116</v>
      </c>
      <c r="F64" t="s">
        <v>7</v>
      </c>
      <c r="G64" t="s">
        <v>117</v>
      </c>
      <c r="H64" t="s">
        <v>16</v>
      </c>
      <c r="I64" t="s">
        <v>118</v>
      </c>
    </row>
    <row r="65" spans="1:9" x14ac:dyDescent="0.35">
      <c r="A65" t="s">
        <v>119</v>
      </c>
      <c r="B65" t="s">
        <v>120</v>
      </c>
      <c r="C65" t="s">
        <v>121</v>
      </c>
      <c r="D65" t="s">
        <v>104</v>
      </c>
      <c r="E65" t="s">
        <v>82</v>
      </c>
      <c r="F65" t="s">
        <v>7</v>
      </c>
      <c r="G65" t="s">
        <v>83</v>
      </c>
      <c r="H65" t="s">
        <v>16</v>
      </c>
      <c r="I65" t="s">
        <v>107</v>
      </c>
    </row>
    <row r="66" spans="1:9" x14ac:dyDescent="0.35">
      <c r="A66" t="s">
        <v>122</v>
      </c>
      <c r="B66" t="s">
        <v>123</v>
      </c>
      <c r="C66" t="s">
        <v>124</v>
      </c>
      <c r="D66" t="s">
        <v>5</v>
      </c>
      <c r="E66" t="s">
        <v>99</v>
      </c>
      <c r="F66" t="s">
        <v>7</v>
      </c>
      <c r="G66" t="s">
        <v>100</v>
      </c>
      <c r="H66" t="s">
        <v>125</v>
      </c>
      <c r="I66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07492-F139-43C9-B347-35FDE6C54DBE}">
  <dimension ref="A1:K66"/>
  <sheetViews>
    <sheetView workbookViewId="0">
      <selection sqref="A1:XFD1"/>
    </sheetView>
  </sheetViews>
  <sheetFormatPr defaultRowHeight="14.5" x14ac:dyDescent="0.35"/>
  <cols>
    <col min="1" max="3" width="10" customWidth="1"/>
    <col min="4" max="4" width="23.36328125" customWidth="1"/>
    <col min="5" max="7" width="10" customWidth="1"/>
    <col min="8" max="9" width="14" customWidth="1"/>
    <col min="10" max="10" width="10" customWidth="1"/>
  </cols>
  <sheetData>
    <row r="1" spans="1:11" x14ac:dyDescent="0.35">
      <c r="A1" s="2" t="s">
        <v>345</v>
      </c>
      <c r="B1" s="2" t="s">
        <v>344</v>
      </c>
      <c r="C1" s="2" t="s">
        <v>343</v>
      </c>
      <c r="D1" s="2" t="s">
        <v>572</v>
      </c>
      <c r="E1" s="2" t="s">
        <v>342</v>
      </c>
      <c r="F1" s="2" t="s">
        <v>341</v>
      </c>
      <c r="G1" s="2" t="s">
        <v>340</v>
      </c>
      <c r="H1" s="2" t="s">
        <v>339</v>
      </c>
      <c r="I1" s="2" t="s">
        <v>573</v>
      </c>
      <c r="J1" s="2" t="s">
        <v>338</v>
      </c>
    </row>
    <row r="2" spans="1:11" x14ac:dyDescent="0.35">
      <c r="A2" s="1">
        <v>1</v>
      </c>
      <c r="B2" s="1">
        <v>4.5720000000000001</v>
      </c>
      <c r="C2" s="1">
        <v>1.143</v>
      </c>
      <c r="D2" s="1">
        <f>2*C2</f>
        <v>2.286</v>
      </c>
      <c r="E2" s="1">
        <v>3.55</v>
      </c>
      <c r="F2" s="1">
        <v>6.9</v>
      </c>
      <c r="G2" s="1">
        <v>3.14</v>
      </c>
      <c r="H2" s="1">
        <v>274.32</v>
      </c>
      <c r="I2" s="1">
        <v>6.4850000000000003E-3</v>
      </c>
      <c r="J2" s="1">
        <v>277</v>
      </c>
    </row>
    <row r="3" spans="1:11" x14ac:dyDescent="0.35">
      <c r="A3" s="1">
        <v>2</v>
      </c>
      <c r="B3" s="1">
        <v>1.524</v>
      </c>
      <c r="C3" s="1">
        <v>0.38100000000000001</v>
      </c>
      <c r="D3" s="1">
        <f t="shared" ref="D3:D46" si="0">2*C3</f>
        <v>0.76200000000000001</v>
      </c>
      <c r="E3" s="1">
        <v>28</v>
      </c>
      <c r="F3" s="1">
        <v>7.1</v>
      </c>
      <c r="G3" s="1">
        <v>3.14</v>
      </c>
      <c r="H3" s="1">
        <v>228.6</v>
      </c>
      <c r="I3" s="1">
        <v>0.31256899999999999</v>
      </c>
      <c r="J3" s="1">
        <v>229</v>
      </c>
      <c r="K3" t="s">
        <v>346</v>
      </c>
    </row>
    <row r="4" spans="1:11" x14ac:dyDescent="0.35">
      <c r="A4" s="1">
        <v>5</v>
      </c>
      <c r="B4" s="1">
        <v>1.524</v>
      </c>
      <c r="C4" s="1">
        <v>0.38100000000000001</v>
      </c>
      <c r="D4" s="1">
        <f t="shared" si="0"/>
        <v>0.76200000000000001</v>
      </c>
      <c r="E4" s="1">
        <v>5.26</v>
      </c>
      <c r="F4" s="1">
        <v>10.9</v>
      </c>
      <c r="G4" s="1">
        <v>3.14</v>
      </c>
      <c r="H4" s="1">
        <v>259.08</v>
      </c>
      <c r="I4" s="1">
        <v>6.4899999999999995E-4</v>
      </c>
      <c r="J4" s="1">
        <v>269</v>
      </c>
    </row>
    <row r="5" spans="1:11" x14ac:dyDescent="0.35">
      <c r="A5" s="1">
        <v>6</v>
      </c>
      <c r="B5" s="1">
        <v>3.81</v>
      </c>
      <c r="C5" s="1">
        <v>0.95299999999999996</v>
      </c>
      <c r="D5" s="1">
        <f t="shared" si="0"/>
        <v>1.9059999999999999</v>
      </c>
      <c r="E5" s="1">
        <v>4.03</v>
      </c>
      <c r="F5" s="1">
        <v>3.8</v>
      </c>
      <c r="G5" s="1">
        <v>3.14</v>
      </c>
      <c r="H5" s="1">
        <v>91.44</v>
      </c>
      <c r="I5" s="1">
        <v>9.5653000000000002E-2</v>
      </c>
      <c r="J5" s="1">
        <v>93</v>
      </c>
    </row>
    <row r="6" spans="1:11" x14ac:dyDescent="0.35">
      <c r="A6" s="1">
        <v>8</v>
      </c>
      <c r="B6" s="1">
        <v>1.524</v>
      </c>
      <c r="C6" s="1">
        <v>0.38100000000000001</v>
      </c>
      <c r="D6" s="1">
        <f t="shared" si="0"/>
        <v>0.76200000000000001</v>
      </c>
      <c r="E6" s="1">
        <v>29.64</v>
      </c>
      <c r="F6" s="1">
        <v>2.4</v>
      </c>
      <c r="G6" s="1">
        <v>3.14</v>
      </c>
      <c r="H6" s="1">
        <v>76.2</v>
      </c>
      <c r="I6" s="1">
        <v>9.3465999999999994E-2</v>
      </c>
      <c r="J6" s="1">
        <v>69</v>
      </c>
    </row>
    <row r="7" spans="1:11" x14ac:dyDescent="0.35">
      <c r="A7" s="1">
        <v>9</v>
      </c>
      <c r="B7" s="1">
        <v>3.81</v>
      </c>
      <c r="C7" s="1">
        <v>0.95299999999999996</v>
      </c>
      <c r="D7" s="1">
        <f t="shared" si="0"/>
        <v>1.9059999999999999</v>
      </c>
      <c r="E7" s="1">
        <v>0.68</v>
      </c>
      <c r="F7" s="1">
        <v>2.1</v>
      </c>
      <c r="G7" s="1">
        <v>3.14</v>
      </c>
      <c r="H7" s="1">
        <v>106.68</v>
      </c>
      <c r="I7" s="1">
        <v>6.9719999999999999E-3</v>
      </c>
      <c r="J7" s="1">
        <v>107</v>
      </c>
    </row>
    <row r="8" spans="1:11" x14ac:dyDescent="0.35">
      <c r="A8" s="1">
        <v>10</v>
      </c>
      <c r="B8" s="1">
        <v>5.3339999999999996</v>
      </c>
      <c r="C8" s="1">
        <v>1.333</v>
      </c>
      <c r="D8" s="1">
        <f t="shared" si="0"/>
        <v>2.6659999999999999</v>
      </c>
      <c r="E8" s="1">
        <v>18.27</v>
      </c>
      <c r="F8" s="1">
        <v>1.9</v>
      </c>
      <c r="G8" s="1">
        <v>3.14</v>
      </c>
      <c r="H8" s="1">
        <v>350.52</v>
      </c>
      <c r="I8" s="1">
        <v>1.6114E-2</v>
      </c>
      <c r="J8" s="1">
        <v>346</v>
      </c>
    </row>
    <row r="9" spans="1:11" x14ac:dyDescent="0.35">
      <c r="A9" s="1">
        <v>11</v>
      </c>
      <c r="B9" s="1">
        <v>3.2004000000000001</v>
      </c>
      <c r="C9" s="1">
        <v>0.8</v>
      </c>
      <c r="D9" s="1">
        <f t="shared" si="0"/>
        <v>1.6</v>
      </c>
      <c r="E9" s="1">
        <v>1.806</v>
      </c>
      <c r="F9" s="1">
        <v>5</v>
      </c>
      <c r="G9" s="1">
        <v>3.14</v>
      </c>
      <c r="H9" s="1">
        <v>182.88</v>
      </c>
      <c r="I9" s="1">
        <v>3.0739999999999999E-3</v>
      </c>
      <c r="J9" s="1">
        <v>179</v>
      </c>
    </row>
    <row r="10" spans="1:11" x14ac:dyDescent="0.35">
      <c r="A10" s="1">
        <v>12</v>
      </c>
      <c r="B10" s="1">
        <v>1.524</v>
      </c>
      <c r="C10" s="1">
        <v>0.38100000000000001</v>
      </c>
      <c r="D10" s="1">
        <f t="shared" si="0"/>
        <v>0.76200000000000001</v>
      </c>
      <c r="E10" s="1">
        <v>0.123</v>
      </c>
      <c r="F10" s="1">
        <v>6.5</v>
      </c>
      <c r="G10" s="1">
        <v>3.14</v>
      </c>
      <c r="H10" s="1">
        <v>42.671999999999997</v>
      </c>
      <c r="I10" s="1">
        <v>3.4400000000000001E-4</v>
      </c>
      <c r="J10" s="1">
        <v>33</v>
      </c>
    </row>
    <row r="11" spans="1:11" x14ac:dyDescent="0.35">
      <c r="A11" s="1">
        <v>13</v>
      </c>
      <c r="B11" s="1">
        <v>1.524</v>
      </c>
      <c r="C11" s="1">
        <v>0.38100000000000001</v>
      </c>
      <c r="D11" s="1">
        <f t="shared" si="0"/>
        <v>0.76200000000000001</v>
      </c>
      <c r="E11" s="1">
        <v>12.84</v>
      </c>
      <c r="F11" s="1">
        <v>6.5</v>
      </c>
      <c r="G11" s="1">
        <v>3.14</v>
      </c>
      <c r="H11" s="1">
        <v>109.72799999999999</v>
      </c>
      <c r="I11" s="1">
        <v>6.2593999999999997E-2</v>
      </c>
      <c r="J11" s="1">
        <v>114</v>
      </c>
    </row>
    <row r="12" spans="1:11" x14ac:dyDescent="0.35">
      <c r="A12" s="1">
        <v>14</v>
      </c>
      <c r="B12" s="1">
        <v>3.81</v>
      </c>
      <c r="C12" s="1">
        <v>0.95299999999999996</v>
      </c>
      <c r="D12" s="1">
        <f t="shared" si="0"/>
        <v>1.9059999999999999</v>
      </c>
      <c r="E12" s="1">
        <v>8.18</v>
      </c>
      <c r="F12" s="1">
        <v>8.6</v>
      </c>
      <c r="G12" s="1">
        <v>3.14</v>
      </c>
      <c r="H12" s="1">
        <v>219.45599999999999</v>
      </c>
      <c r="I12" s="1">
        <v>1.7691999999999999E-2</v>
      </c>
      <c r="J12" s="1">
        <v>227</v>
      </c>
    </row>
    <row r="13" spans="1:11" x14ac:dyDescent="0.35">
      <c r="A13" s="1">
        <v>15</v>
      </c>
      <c r="B13" s="1">
        <v>1.524</v>
      </c>
      <c r="C13" s="1">
        <v>0.38100000000000001</v>
      </c>
      <c r="D13" s="1">
        <f t="shared" si="0"/>
        <v>0.76200000000000001</v>
      </c>
      <c r="E13" s="1">
        <v>13.8</v>
      </c>
      <c r="F13" s="1">
        <v>9</v>
      </c>
      <c r="G13" s="1">
        <v>3.14</v>
      </c>
      <c r="H13" s="1">
        <v>96.012</v>
      </c>
      <c r="I13" s="1">
        <v>3.1347E-2</v>
      </c>
      <c r="J13" s="1">
        <v>101</v>
      </c>
    </row>
    <row r="14" spans="1:11" x14ac:dyDescent="0.35">
      <c r="A14" s="1">
        <v>16</v>
      </c>
      <c r="B14" s="1">
        <v>3.048</v>
      </c>
      <c r="C14" s="1">
        <v>0.76200000000000001</v>
      </c>
      <c r="D14" s="1">
        <f t="shared" si="0"/>
        <v>1.524</v>
      </c>
      <c r="E14" s="1">
        <v>13.118</v>
      </c>
      <c r="F14" s="1">
        <v>9.3000000000000007</v>
      </c>
      <c r="G14" s="1">
        <v>3.14</v>
      </c>
      <c r="H14" s="1">
        <v>53.34</v>
      </c>
      <c r="I14" s="3">
        <v>1</v>
      </c>
      <c r="J14" s="1">
        <v>49</v>
      </c>
      <c r="K14" t="s">
        <v>346</v>
      </c>
    </row>
    <row r="15" spans="1:11" x14ac:dyDescent="0.35">
      <c r="A15" s="1">
        <v>17</v>
      </c>
      <c r="B15" s="1">
        <v>2.286</v>
      </c>
      <c r="C15" s="1">
        <v>0.57199999999999995</v>
      </c>
      <c r="D15" s="1">
        <f t="shared" si="0"/>
        <v>1.1439999999999999</v>
      </c>
      <c r="E15" s="1">
        <v>84.9</v>
      </c>
      <c r="F15" s="1">
        <v>8.1999999999999993</v>
      </c>
      <c r="G15" s="1">
        <v>3.14</v>
      </c>
      <c r="H15" s="1">
        <v>128.01599999999999</v>
      </c>
      <c r="I15" s="1">
        <v>5.6126000000000002E-2</v>
      </c>
      <c r="J15" s="1">
        <v>126</v>
      </c>
    </row>
    <row r="16" spans="1:11" x14ac:dyDescent="0.35">
      <c r="A16" s="1">
        <v>18</v>
      </c>
      <c r="B16" s="1">
        <v>3.81</v>
      </c>
      <c r="C16" s="1">
        <v>0.95299999999999996</v>
      </c>
      <c r="D16" s="1">
        <f t="shared" si="0"/>
        <v>1.9059999999999999</v>
      </c>
      <c r="E16" s="1">
        <v>22.9</v>
      </c>
      <c r="F16" s="1">
        <v>8.3000000000000007</v>
      </c>
      <c r="G16" s="1">
        <v>3.14</v>
      </c>
      <c r="H16" s="1">
        <v>914.4</v>
      </c>
      <c r="I16" s="1">
        <v>3.1335000000000002E-2</v>
      </c>
      <c r="J16" s="1">
        <v>924</v>
      </c>
    </row>
    <row r="17" spans="1:11" x14ac:dyDescent="0.35">
      <c r="A17" s="1">
        <v>19</v>
      </c>
      <c r="B17" s="1">
        <v>4.5720000000000001</v>
      </c>
      <c r="C17" s="1">
        <v>1.143</v>
      </c>
      <c r="D17" s="1">
        <f t="shared" si="0"/>
        <v>2.286</v>
      </c>
      <c r="E17" s="1">
        <v>49.3</v>
      </c>
      <c r="F17" s="1">
        <v>7.5</v>
      </c>
      <c r="G17" s="1">
        <v>3.14</v>
      </c>
      <c r="H17" s="1">
        <v>192.024</v>
      </c>
      <c r="I17" s="1">
        <v>3.7182E-2</v>
      </c>
      <c r="J17" s="1">
        <v>199</v>
      </c>
    </row>
    <row r="18" spans="1:11" x14ac:dyDescent="0.35">
      <c r="A18" s="1">
        <v>20</v>
      </c>
      <c r="B18" s="1">
        <v>1.524</v>
      </c>
      <c r="C18" s="1">
        <v>0.38100000000000001</v>
      </c>
      <c r="D18" s="1">
        <f t="shared" si="0"/>
        <v>0.76200000000000001</v>
      </c>
      <c r="E18" s="1">
        <v>90.21</v>
      </c>
      <c r="F18" s="1">
        <v>6.8</v>
      </c>
      <c r="G18" s="1">
        <v>3.14</v>
      </c>
      <c r="H18" s="1">
        <v>60.96</v>
      </c>
      <c r="I18" s="1">
        <v>8.8403999999999996E-2</v>
      </c>
      <c r="J18" s="1">
        <v>70</v>
      </c>
    </row>
    <row r="19" spans="1:11" x14ac:dyDescent="0.35">
      <c r="A19" s="1">
        <v>22</v>
      </c>
      <c r="B19" s="1">
        <v>2.286</v>
      </c>
      <c r="C19" s="1">
        <v>0.57199999999999995</v>
      </c>
      <c r="D19" s="1">
        <f t="shared" si="0"/>
        <v>1.1439999999999999</v>
      </c>
      <c r="E19" s="1">
        <v>20.95</v>
      </c>
      <c r="F19" s="1">
        <v>8.52</v>
      </c>
      <c r="G19" s="1">
        <v>3.14</v>
      </c>
      <c r="H19" s="1">
        <v>106.68</v>
      </c>
      <c r="I19" s="3">
        <v>1</v>
      </c>
      <c r="J19" s="1">
        <v>101</v>
      </c>
      <c r="K19" t="s">
        <v>346</v>
      </c>
    </row>
    <row r="20" spans="1:11" x14ac:dyDescent="0.35">
      <c r="A20" s="1">
        <v>23</v>
      </c>
      <c r="B20" s="1">
        <v>11</v>
      </c>
      <c r="C20" s="1">
        <v>2.75</v>
      </c>
      <c r="D20" s="1">
        <f t="shared" si="0"/>
        <v>5.5</v>
      </c>
      <c r="E20" s="1">
        <v>4.2460000000000004</v>
      </c>
      <c r="F20" s="1">
        <v>7.9</v>
      </c>
      <c r="G20" s="1">
        <v>3.14</v>
      </c>
      <c r="H20" s="1">
        <v>420</v>
      </c>
      <c r="I20" s="1">
        <v>2.6467999999999998E-2</v>
      </c>
      <c r="J20" s="1">
        <v>419</v>
      </c>
    </row>
    <row r="21" spans="1:11" x14ac:dyDescent="0.35">
      <c r="A21" s="1">
        <v>24</v>
      </c>
      <c r="B21" s="1">
        <v>3.048</v>
      </c>
      <c r="C21" s="1">
        <v>0.76200000000000001</v>
      </c>
      <c r="D21" s="1">
        <f t="shared" si="0"/>
        <v>1.524</v>
      </c>
      <c r="E21" s="1">
        <v>67</v>
      </c>
      <c r="F21" s="1">
        <v>3.7</v>
      </c>
      <c r="G21" s="1">
        <v>3.14</v>
      </c>
      <c r="H21" s="1">
        <v>207.26400000000001</v>
      </c>
      <c r="I21" s="1">
        <v>2.3120999999999999E-2</v>
      </c>
      <c r="J21" s="1">
        <v>214</v>
      </c>
    </row>
    <row r="22" spans="1:11" x14ac:dyDescent="0.35">
      <c r="A22" s="1">
        <v>25</v>
      </c>
      <c r="B22" s="1">
        <v>1.524</v>
      </c>
      <c r="C22" s="1">
        <v>0.38100000000000001</v>
      </c>
      <c r="D22" s="1">
        <f t="shared" si="0"/>
        <v>0.76200000000000001</v>
      </c>
      <c r="E22" s="1">
        <v>7.1900000000000006E-2</v>
      </c>
      <c r="F22" s="1">
        <v>8.4</v>
      </c>
      <c r="G22" s="1">
        <v>3.14</v>
      </c>
      <c r="H22" s="1">
        <v>67.055999999999997</v>
      </c>
      <c r="I22" s="1">
        <v>1E-4</v>
      </c>
      <c r="J22" s="1">
        <v>61</v>
      </c>
    </row>
    <row r="23" spans="1:11" x14ac:dyDescent="0.35">
      <c r="A23" s="1">
        <v>28</v>
      </c>
      <c r="B23" s="1">
        <v>1.0668</v>
      </c>
      <c r="C23" s="1">
        <v>0.26700000000000002</v>
      </c>
      <c r="D23" s="1">
        <f t="shared" si="0"/>
        <v>0.53400000000000003</v>
      </c>
      <c r="E23" s="1">
        <v>5.375</v>
      </c>
      <c r="F23" s="1">
        <v>5.5</v>
      </c>
      <c r="G23" s="1">
        <v>3.14</v>
      </c>
      <c r="H23" s="1">
        <v>457.2</v>
      </c>
      <c r="I23" s="1">
        <v>5.5800000000000001E-4</v>
      </c>
      <c r="J23" s="1">
        <v>458</v>
      </c>
    </row>
    <row r="24" spans="1:11" x14ac:dyDescent="0.35">
      <c r="A24" s="1">
        <v>30</v>
      </c>
      <c r="B24" s="1">
        <v>1.5249999999999999</v>
      </c>
      <c r="C24" s="1">
        <v>0.38100000000000001</v>
      </c>
      <c r="D24" s="1">
        <f t="shared" si="0"/>
        <v>0.76200000000000001</v>
      </c>
      <c r="E24" s="1">
        <v>5.22</v>
      </c>
      <c r="F24" s="1">
        <v>5.7</v>
      </c>
      <c r="G24" s="1">
        <v>3.14</v>
      </c>
      <c r="H24" s="1">
        <v>152</v>
      </c>
      <c r="I24" s="1">
        <v>4.006E-3</v>
      </c>
      <c r="J24" s="1">
        <v>156</v>
      </c>
    </row>
    <row r="25" spans="1:11" x14ac:dyDescent="0.35">
      <c r="A25" s="1">
        <v>31</v>
      </c>
      <c r="B25" s="1">
        <v>4.57</v>
      </c>
      <c r="C25" s="1">
        <v>1.143</v>
      </c>
      <c r="D25" s="1">
        <f t="shared" si="0"/>
        <v>2.286</v>
      </c>
      <c r="E25" s="1">
        <v>9.23</v>
      </c>
      <c r="F25" s="1">
        <v>2.8</v>
      </c>
      <c r="G25" s="1">
        <v>3.14</v>
      </c>
      <c r="H25" s="1">
        <v>366</v>
      </c>
      <c r="I25" s="1">
        <v>0.62578699999999998</v>
      </c>
      <c r="J25" s="1">
        <v>369</v>
      </c>
      <c r="K25" t="s">
        <v>346</v>
      </c>
    </row>
    <row r="26" spans="1:11" x14ac:dyDescent="0.35">
      <c r="A26" s="1">
        <v>33</v>
      </c>
      <c r="B26" s="1">
        <v>0.30499999999999999</v>
      </c>
      <c r="C26" s="1">
        <v>7.5999999999999998E-2</v>
      </c>
      <c r="D26" s="1">
        <f t="shared" si="0"/>
        <v>0.152</v>
      </c>
      <c r="E26" s="1">
        <v>5.48</v>
      </c>
      <c r="F26" s="1">
        <v>7.4</v>
      </c>
      <c r="G26" s="1">
        <v>3.14</v>
      </c>
      <c r="H26" s="1">
        <v>107</v>
      </c>
      <c r="I26" s="1">
        <v>1.6100000000000001E-4</v>
      </c>
      <c r="J26" s="1">
        <v>108</v>
      </c>
    </row>
    <row r="27" spans="1:11" x14ac:dyDescent="0.35">
      <c r="A27" s="1">
        <v>34</v>
      </c>
      <c r="B27" s="1">
        <v>1.5249999999999999</v>
      </c>
      <c r="C27" s="1">
        <v>0.38100000000000001</v>
      </c>
      <c r="D27" s="1">
        <f t="shared" si="0"/>
        <v>0.76200000000000001</v>
      </c>
      <c r="E27" s="1">
        <v>48.65</v>
      </c>
      <c r="F27" s="1">
        <v>0.42</v>
      </c>
      <c r="G27" s="1">
        <v>3.14</v>
      </c>
      <c r="H27" s="1">
        <v>85</v>
      </c>
      <c r="I27" s="1">
        <v>3.4597000000000003E-2</v>
      </c>
      <c r="J27" s="1">
        <v>78</v>
      </c>
    </row>
    <row r="28" spans="1:11" x14ac:dyDescent="0.35">
      <c r="A28" s="1">
        <v>35</v>
      </c>
      <c r="B28" s="1">
        <v>5.335</v>
      </c>
      <c r="C28" s="1">
        <v>1.3340000000000001</v>
      </c>
      <c r="D28" s="1">
        <f t="shared" si="0"/>
        <v>2.6680000000000001</v>
      </c>
      <c r="E28" s="1">
        <v>18.27</v>
      </c>
      <c r="F28" s="1">
        <v>1.9</v>
      </c>
      <c r="G28" s="1">
        <v>3.14</v>
      </c>
      <c r="H28" s="1">
        <v>229</v>
      </c>
      <c r="I28" s="1">
        <v>2.3120999999999999E-2</v>
      </c>
      <c r="J28" s="1">
        <v>233</v>
      </c>
    </row>
    <row r="29" spans="1:11" x14ac:dyDescent="0.35">
      <c r="A29" s="1">
        <v>36</v>
      </c>
      <c r="B29" s="1">
        <v>4.57</v>
      </c>
      <c r="C29" s="1">
        <v>1.143</v>
      </c>
      <c r="D29" s="1">
        <f t="shared" si="0"/>
        <v>2.286</v>
      </c>
      <c r="E29" s="1">
        <v>3.23</v>
      </c>
      <c r="F29" s="1">
        <v>0.1</v>
      </c>
      <c r="G29" s="1">
        <v>3.14</v>
      </c>
      <c r="H29" s="1">
        <v>198</v>
      </c>
      <c r="I29" s="1">
        <v>1.7083000000000001E-2</v>
      </c>
      <c r="J29" s="1">
        <v>197</v>
      </c>
    </row>
    <row r="30" spans="1:11" x14ac:dyDescent="0.35">
      <c r="A30" s="1">
        <v>37</v>
      </c>
      <c r="B30" s="1">
        <v>7.62</v>
      </c>
      <c r="C30" s="1">
        <v>1.905</v>
      </c>
      <c r="D30" s="1">
        <f t="shared" si="0"/>
        <v>3.81</v>
      </c>
      <c r="E30" s="1">
        <v>6.01</v>
      </c>
      <c r="F30" s="1">
        <v>10</v>
      </c>
      <c r="G30" s="1">
        <v>3.14</v>
      </c>
      <c r="H30" s="1">
        <v>853</v>
      </c>
      <c r="I30" s="1">
        <v>6.4850000000000003E-3</v>
      </c>
      <c r="J30" s="1">
        <v>854</v>
      </c>
    </row>
    <row r="31" spans="1:11" x14ac:dyDescent="0.35">
      <c r="A31" s="1">
        <v>38</v>
      </c>
      <c r="B31" s="1">
        <v>1.22</v>
      </c>
      <c r="C31" s="1">
        <v>0.30499999999999999</v>
      </c>
      <c r="D31" s="1">
        <f t="shared" si="0"/>
        <v>0.61</v>
      </c>
      <c r="E31" s="1">
        <v>0.96</v>
      </c>
      <c r="F31" s="1">
        <v>3.9</v>
      </c>
      <c r="G31" s="1">
        <v>3.14</v>
      </c>
      <c r="H31" s="1">
        <v>30</v>
      </c>
      <c r="I31" s="1">
        <v>4.006E-3</v>
      </c>
      <c r="J31" s="1">
        <v>20</v>
      </c>
    </row>
    <row r="32" spans="1:11" x14ac:dyDescent="0.35">
      <c r="A32" s="1">
        <v>39</v>
      </c>
      <c r="B32" s="1">
        <v>1.22</v>
      </c>
      <c r="C32" s="1">
        <v>0.30499999999999999</v>
      </c>
      <c r="D32" s="1">
        <f t="shared" si="0"/>
        <v>0.61</v>
      </c>
      <c r="E32" s="1">
        <v>13.8</v>
      </c>
      <c r="F32" s="1">
        <v>7.6</v>
      </c>
      <c r="G32" s="1">
        <v>3.14</v>
      </c>
      <c r="H32" s="1">
        <v>64</v>
      </c>
      <c r="I32" s="1">
        <v>0.125087</v>
      </c>
      <c r="J32" s="1">
        <v>61</v>
      </c>
      <c r="K32" t="s">
        <v>346</v>
      </c>
    </row>
    <row r="33" spans="1:11" x14ac:dyDescent="0.35">
      <c r="A33" s="1">
        <v>41</v>
      </c>
      <c r="B33" s="1">
        <v>4.57</v>
      </c>
      <c r="C33" s="1">
        <v>1.143</v>
      </c>
      <c r="D33" s="1">
        <f t="shared" si="0"/>
        <v>2.286</v>
      </c>
      <c r="E33" s="1">
        <v>15.6</v>
      </c>
      <c r="F33" s="1">
        <v>10.43</v>
      </c>
      <c r="G33" s="1">
        <v>3.14</v>
      </c>
      <c r="H33" s="1">
        <v>549</v>
      </c>
      <c r="I33" s="1">
        <v>2.1590000000000002E-2</v>
      </c>
      <c r="J33" s="1">
        <v>542</v>
      </c>
    </row>
    <row r="34" spans="1:11" x14ac:dyDescent="0.35">
      <c r="A34" s="1">
        <v>42</v>
      </c>
      <c r="B34" s="1">
        <v>3.05</v>
      </c>
      <c r="C34" s="1">
        <v>0.76200000000000001</v>
      </c>
      <c r="D34" s="1">
        <f t="shared" si="0"/>
        <v>1.524</v>
      </c>
      <c r="E34" s="1">
        <v>9.23</v>
      </c>
      <c r="F34" s="1">
        <v>7.7</v>
      </c>
      <c r="G34" s="1">
        <v>3.14</v>
      </c>
      <c r="H34" s="1">
        <v>152</v>
      </c>
      <c r="I34" s="1">
        <v>3.3284000000000001E-2</v>
      </c>
      <c r="J34" s="1">
        <v>155</v>
      </c>
    </row>
    <row r="35" spans="1:11" x14ac:dyDescent="0.35">
      <c r="A35" s="1">
        <v>43</v>
      </c>
      <c r="B35" s="1">
        <v>1.83</v>
      </c>
      <c r="C35" s="1">
        <v>0.45800000000000002</v>
      </c>
      <c r="D35" s="1">
        <f t="shared" si="0"/>
        <v>0.91600000000000004</v>
      </c>
      <c r="E35" s="1">
        <v>3.13</v>
      </c>
      <c r="F35" s="1">
        <v>8</v>
      </c>
      <c r="G35" s="1">
        <v>3.14</v>
      </c>
      <c r="H35" s="1">
        <v>96</v>
      </c>
      <c r="I35" s="1">
        <v>2.0530000000000001E-3</v>
      </c>
      <c r="J35" s="1">
        <v>106</v>
      </c>
    </row>
    <row r="36" spans="1:11" x14ac:dyDescent="0.35">
      <c r="A36" s="1">
        <v>44</v>
      </c>
      <c r="B36" s="1">
        <v>6</v>
      </c>
      <c r="C36" s="1">
        <v>1.5</v>
      </c>
      <c r="D36" s="1">
        <f t="shared" si="0"/>
        <v>3</v>
      </c>
      <c r="E36" s="1">
        <v>7.0000000000000007E-2</v>
      </c>
      <c r="F36" s="1">
        <v>1</v>
      </c>
      <c r="G36" s="1">
        <v>3.17</v>
      </c>
      <c r="H36" s="1">
        <v>140</v>
      </c>
      <c r="I36" s="1">
        <v>2.5869999999999999E-3</v>
      </c>
      <c r="J36" s="1">
        <v>143</v>
      </c>
    </row>
    <row r="37" spans="1:11" x14ac:dyDescent="0.35">
      <c r="A37" s="1">
        <v>45</v>
      </c>
      <c r="B37" s="1">
        <v>6</v>
      </c>
      <c r="C37" s="1">
        <v>1.5</v>
      </c>
      <c r="D37" s="1">
        <f t="shared" si="0"/>
        <v>3</v>
      </c>
      <c r="E37" s="1">
        <v>0.04</v>
      </c>
      <c r="F37" s="1">
        <v>1</v>
      </c>
      <c r="G37" s="1">
        <v>3.13</v>
      </c>
      <c r="H37" s="1">
        <v>90</v>
      </c>
      <c r="I37" s="1">
        <v>3.0739999999999999E-3</v>
      </c>
      <c r="J37" s="1">
        <v>85</v>
      </c>
    </row>
    <row r="38" spans="1:11" x14ac:dyDescent="0.35">
      <c r="A38" s="1">
        <v>46</v>
      </c>
      <c r="B38" s="1">
        <v>6</v>
      </c>
      <c r="C38" s="1">
        <v>1.5</v>
      </c>
      <c r="D38" s="1">
        <f t="shared" si="0"/>
        <v>3</v>
      </c>
      <c r="E38" s="1">
        <v>1.3</v>
      </c>
      <c r="F38" s="1">
        <v>1</v>
      </c>
      <c r="G38" s="1">
        <v>3.17</v>
      </c>
      <c r="H38" s="1">
        <v>120</v>
      </c>
      <c r="I38" s="1">
        <v>0.37631199999999998</v>
      </c>
      <c r="J38" s="1">
        <v>120</v>
      </c>
      <c r="K38" t="s">
        <v>346</v>
      </c>
    </row>
    <row r="39" spans="1:11" x14ac:dyDescent="0.35">
      <c r="A39" s="1">
        <v>47</v>
      </c>
      <c r="B39" s="1">
        <v>6</v>
      </c>
      <c r="C39" s="1">
        <v>1.5</v>
      </c>
      <c r="D39" s="1">
        <f t="shared" si="0"/>
        <v>3</v>
      </c>
      <c r="E39" s="1">
        <v>2.4</v>
      </c>
      <c r="F39" s="1">
        <v>2</v>
      </c>
      <c r="G39" s="1">
        <v>3.17</v>
      </c>
      <c r="H39" s="1">
        <v>90</v>
      </c>
      <c r="I39" s="1">
        <v>0.50105</v>
      </c>
      <c r="J39" s="1">
        <v>94</v>
      </c>
      <c r="K39" t="s">
        <v>346</v>
      </c>
    </row>
    <row r="40" spans="1:11" x14ac:dyDescent="0.35">
      <c r="A40" s="1">
        <v>48</v>
      </c>
      <c r="B40" s="1">
        <v>6</v>
      </c>
      <c r="C40" s="1">
        <v>1.5</v>
      </c>
      <c r="D40" s="1">
        <f t="shared" si="0"/>
        <v>3</v>
      </c>
      <c r="E40" s="1">
        <v>1.4</v>
      </c>
      <c r="F40" s="1">
        <v>2</v>
      </c>
      <c r="G40" s="1">
        <v>3.17</v>
      </c>
      <c r="H40" s="1">
        <v>60</v>
      </c>
      <c r="I40" s="1">
        <v>0.25157499999999999</v>
      </c>
      <c r="J40" s="1">
        <v>55</v>
      </c>
      <c r="K40" t="s">
        <v>346</v>
      </c>
    </row>
    <row r="41" spans="1:11" x14ac:dyDescent="0.35">
      <c r="A41" s="1">
        <v>49</v>
      </c>
      <c r="B41" s="1">
        <v>6</v>
      </c>
      <c r="C41" s="1">
        <v>1.5</v>
      </c>
      <c r="D41" s="1">
        <f t="shared" si="0"/>
        <v>3</v>
      </c>
      <c r="E41" s="1">
        <v>0.7</v>
      </c>
      <c r="F41" s="1">
        <v>2</v>
      </c>
      <c r="G41" s="1">
        <v>3.17</v>
      </c>
      <c r="H41" s="1">
        <v>90</v>
      </c>
      <c r="I41" s="1">
        <v>2.5488E-2</v>
      </c>
      <c r="J41" s="1">
        <v>90</v>
      </c>
    </row>
    <row r="42" spans="1:11" x14ac:dyDescent="0.35">
      <c r="A42" s="1">
        <v>50</v>
      </c>
      <c r="B42" s="1">
        <v>50</v>
      </c>
      <c r="C42" s="1">
        <v>12.5</v>
      </c>
      <c r="D42" s="1">
        <f t="shared" si="0"/>
        <v>25</v>
      </c>
      <c r="E42" s="1">
        <v>0.25</v>
      </c>
      <c r="F42" s="1">
        <v>1</v>
      </c>
      <c r="G42" s="1">
        <v>3.08</v>
      </c>
      <c r="H42" s="1">
        <v>150</v>
      </c>
      <c r="I42" s="1">
        <v>0.53804600000000002</v>
      </c>
      <c r="J42" s="1">
        <v>214</v>
      </c>
      <c r="K42" t="s">
        <v>346</v>
      </c>
    </row>
    <row r="43" spans="1:11" x14ac:dyDescent="0.35">
      <c r="A43" s="1">
        <v>51</v>
      </c>
      <c r="B43" s="1">
        <v>50</v>
      </c>
      <c r="C43" s="1">
        <v>12.5</v>
      </c>
      <c r="D43" s="1">
        <f t="shared" si="0"/>
        <v>25</v>
      </c>
      <c r="E43" s="1">
        <v>0.4</v>
      </c>
      <c r="F43" s="1">
        <v>1</v>
      </c>
      <c r="G43" s="1">
        <v>3.17</v>
      </c>
      <c r="H43" s="1">
        <v>100</v>
      </c>
      <c r="I43" s="1">
        <v>0.191581</v>
      </c>
      <c r="J43" s="1">
        <v>53</v>
      </c>
      <c r="K43" t="s">
        <v>346</v>
      </c>
    </row>
    <row r="44" spans="1:11" x14ac:dyDescent="0.35">
      <c r="A44" s="1">
        <v>52</v>
      </c>
      <c r="B44" s="1">
        <v>7.5</v>
      </c>
      <c r="C44" s="1">
        <v>1.875</v>
      </c>
      <c r="D44" s="1">
        <f t="shared" si="0"/>
        <v>3.75</v>
      </c>
      <c r="E44" s="1">
        <v>0.31</v>
      </c>
      <c r="F44" s="1">
        <v>1</v>
      </c>
      <c r="G44" s="1">
        <v>3.14</v>
      </c>
      <c r="H44" s="1">
        <v>160</v>
      </c>
      <c r="I44" s="1">
        <v>1.7691999999999999E-2</v>
      </c>
      <c r="J44" s="1">
        <v>150</v>
      </c>
    </row>
    <row r="45" spans="1:11" x14ac:dyDescent="0.35">
      <c r="A45" s="1">
        <v>55</v>
      </c>
      <c r="B45" s="1">
        <v>3.7</v>
      </c>
      <c r="C45" s="1">
        <v>0.92500000000000004</v>
      </c>
      <c r="D45" s="1">
        <f t="shared" si="0"/>
        <v>1.85</v>
      </c>
      <c r="E45" s="1">
        <v>123</v>
      </c>
      <c r="F45" s="1">
        <v>1.6</v>
      </c>
      <c r="G45" s="1">
        <v>3.08</v>
      </c>
      <c r="H45" s="1">
        <v>200</v>
      </c>
      <c r="I45" s="1">
        <v>1.3872000000000001E-2</v>
      </c>
      <c r="J45" s="1">
        <v>200</v>
      </c>
    </row>
    <row r="46" spans="1:11" x14ac:dyDescent="0.35">
      <c r="A46" s="1">
        <v>56</v>
      </c>
      <c r="B46" s="1">
        <v>3</v>
      </c>
      <c r="C46" s="1">
        <v>0.75</v>
      </c>
      <c r="D46" s="1">
        <f t="shared" si="0"/>
        <v>1.5</v>
      </c>
      <c r="E46" s="1">
        <v>230</v>
      </c>
      <c r="F46" s="1">
        <v>0.6</v>
      </c>
      <c r="G46" s="1">
        <v>3.14</v>
      </c>
      <c r="H46" s="1">
        <v>500</v>
      </c>
      <c r="I46" s="1">
        <v>4.1229999999999999E-3</v>
      </c>
      <c r="J46" s="1">
        <v>510</v>
      </c>
    </row>
    <row r="50" spans="1:9" x14ac:dyDescent="0.35">
      <c r="A50" t="s">
        <v>1</v>
      </c>
      <c r="B50" t="s">
        <v>0</v>
      </c>
      <c r="C50" t="s">
        <v>0</v>
      </c>
      <c r="D50" t="s">
        <v>0</v>
      </c>
      <c r="E50" t="s">
        <v>0</v>
      </c>
      <c r="F50" t="s">
        <v>0</v>
      </c>
      <c r="G50" t="s">
        <v>0</v>
      </c>
      <c r="H50" t="s">
        <v>0</v>
      </c>
      <c r="I50" t="s">
        <v>0</v>
      </c>
    </row>
    <row r="51" spans="1:9" x14ac:dyDescent="0.35">
      <c r="A51" t="s">
        <v>126</v>
      </c>
      <c r="B51" t="s">
        <v>127</v>
      </c>
      <c r="C51" t="s">
        <v>128</v>
      </c>
      <c r="D51" t="s">
        <v>5</v>
      </c>
      <c r="E51" t="s">
        <v>129</v>
      </c>
      <c r="F51" t="s">
        <v>7</v>
      </c>
      <c r="G51" t="s">
        <v>130</v>
      </c>
      <c r="H51" t="s">
        <v>131</v>
      </c>
      <c r="I51" t="s">
        <v>132</v>
      </c>
    </row>
    <row r="52" spans="1:9" x14ac:dyDescent="0.35">
      <c r="A52" t="s">
        <v>133</v>
      </c>
      <c r="B52" t="s">
        <v>134</v>
      </c>
      <c r="C52" t="s">
        <v>135</v>
      </c>
      <c r="D52" t="s">
        <v>5</v>
      </c>
      <c r="E52" t="s">
        <v>136</v>
      </c>
      <c r="F52" t="s">
        <v>7</v>
      </c>
      <c r="G52" t="s">
        <v>137</v>
      </c>
      <c r="H52" t="s">
        <v>138</v>
      </c>
      <c r="I52" t="s">
        <v>10</v>
      </c>
    </row>
    <row r="53" spans="1:9" x14ac:dyDescent="0.35">
      <c r="A53" t="s">
        <v>139</v>
      </c>
      <c r="B53" t="s">
        <v>140</v>
      </c>
      <c r="C53" t="s">
        <v>141</v>
      </c>
      <c r="D53" t="s">
        <v>5</v>
      </c>
      <c r="E53" t="s">
        <v>142</v>
      </c>
      <c r="F53" t="s">
        <v>7</v>
      </c>
      <c r="G53" t="s">
        <v>143</v>
      </c>
      <c r="H53" t="s">
        <v>144</v>
      </c>
      <c r="I53" t="s">
        <v>10</v>
      </c>
    </row>
    <row r="54" spans="1:9" x14ac:dyDescent="0.35">
      <c r="A54" t="s">
        <v>145</v>
      </c>
      <c r="B54" t="s">
        <v>146</v>
      </c>
      <c r="C54" t="s">
        <v>147</v>
      </c>
      <c r="D54" t="s">
        <v>5</v>
      </c>
      <c r="E54" t="s">
        <v>33</v>
      </c>
      <c r="F54" t="s">
        <v>7</v>
      </c>
      <c r="G54" t="s">
        <v>34</v>
      </c>
      <c r="H54" t="s">
        <v>16</v>
      </c>
      <c r="I54" t="s">
        <v>148</v>
      </c>
    </row>
    <row r="55" spans="1:9" x14ac:dyDescent="0.35">
      <c r="A55" t="s">
        <v>42</v>
      </c>
      <c r="B55" t="s">
        <v>43</v>
      </c>
      <c r="C55" t="s">
        <v>44</v>
      </c>
      <c r="D55" t="s">
        <v>5</v>
      </c>
      <c r="E55" t="s">
        <v>45</v>
      </c>
      <c r="F55" t="s">
        <v>7</v>
      </c>
      <c r="G55" t="s">
        <v>46</v>
      </c>
      <c r="H55" t="s">
        <v>149</v>
      </c>
      <c r="I55" t="s">
        <v>10</v>
      </c>
    </row>
    <row r="56" spans="1:9" x14ac:dyDescent="0.35">
      <c r="A56" t="s">
        <v>150</v>
      </c>
      <c r="B56" t="s">
        <v>151</v>
      </c>
      <c r="C56" t="s">
        <v>4</v>
      </c>
      <c r="D56" t="s">
        <v>5</v>
      </c>
      <c r="E56" t="s">
        <v>152</v>
      </c>
      <c r="F56" t="s">
        <v>7</v>
      </c>
      <c r="G56" t="s">
        <v>153</v>
      </c>
      <c r="H56" t="s">
        <v>154</v>
      </c>
      <c r="I56" t="s">
        <v>155</v>
      </c>
    </row>
    <row r="57" spans="1:9" x14ac:dyDescent="0.35">
      <c r="A57" t="s">
        <v>54</v>
      </c>
      <c r="B57" t="s">
        <v>55</v>
      </c>
      <c r="C57" t="s">
        <v>56</v>
      </c>
      <c r="D57" t="s">
        <v>5</v>
      </c>
      <c r="E57" t="s">
        <v>57</v>
      </c>
      <c r="F57" t="s">
        <v>7</v>
      </c>
      <c r="G57" t="s">
        <v>58</v>
      </c>
      <c r="H57" t="s">
        <v>0</v>
      </c>
      <c r="I57" t="s">
        <v>0</v>
      </c>
    </row>
    <row r="58" spans="1:9" x14ac:dyDescent="0.35">
      <c r="A58" t="s">
        <v>59</v>
      </c>
      <c r="B58" t="s">
        <v>60</v>
      </c>
      <c r="C58" t="s">
        <v>61</v>
      </c>
      <c r="D58" t="s">
        <v>5</v>
      </c>
      <c r="E58" t="s">
        <v>62</v>
      </c>
      <c r="F58" t="s">
        <v>7</v>
      </c>
      <c r="G58" t="s">
        <v>63</v>
      </c>
      <c r="H58" t="s">
        <v>156</v>
      </c>
      <c r="I58" t="s">
        <v>10</v>
      </c>
    </row>
    <row r="59" spans="1:9" x14ac:dyDescent="0.35">
      <c r="A59" t="s">
        <v>157</v>
      </c>
      <c r="B59" t="s">
        <v>158</v>
      </c>
      <c r="C59" t="s">
        <v>159</v>
      </c>
      <c r="D59" t="s">
        <v>5</v>
      </c>
      <c r="E59" t="s">
        <v>160</v>
      </c>
      <c r="F59" t="s">
        <v>7</v>
      </c>
      <c r="G59" t="s">
        <v>161</v>
      </c>
      <c r="H59" t="s">
        <v>162</v>
      </c>
      <c r="I59" t="s">
        <v>10</v>
      </c>
    </row>
    <row r="60" spans="1:9" x14ac:dyDescent="0.35">
      <c r="A60" t="s">
        <v>92</v>
      </c>
      <c r="B60" t="s">
        <v>93</v>
      </c>
      <c r="C60" t="s">
        <v>26</v>
      </c>
      <c r="D60" t="s">
        <v>5</v>
      </c>
      <c r="E60" t="s">
        <v>94</v>
      </c>
      <c r="F60" t="s">
        <v>7</v>
      </c>
      <c r="G60" t="s">
        <v>95</v>
      </c>
      <c r="H60" t="s">
        <v>16</v>
      </c>
      <c r="I60" t="s">
        <v>163</v>
      </c>
    </row>
    <row r="61" spans="1:9" x14ac:dyDescent="0.35">
      <c r="A61" t="s">
        <v>97</v>
      </c>
      <c r="B61" t="s">
        <v>98</v>
      </c>
      <c r="C61" t="s">
        <v>26</v>
      </c>
      <c r="D61" t="s">
        <v>5</v>
      </c>
      <c r="E61" t="s">
        <v>99</v>
      </c>
      <c r="F61" t="s">
        <v>7</v>
      </c>
      <c r="G61" t="s">
        <v>100</v>
      </c>
      <c r="H61" t="s">
        <v>164</v>
      </c>
      <c r="I61" t="s">
        <v>10</v>
      </c>
    </row>
    <row r="62" spans="1:9" x14ac:dyDescent="0.35">
      <c r="A62" t="s">
        <v>102</v>
      </c>
      <c r="B62" t="s">
        <v>93</v>
      </c>
      <c r="C62" t="s">
        <v>103</v>
      </c>
      <c r="D62" t="s">
        <v>104</v>
      </c>
      <c r="E62" t="s">
        <v>105</v>
      </c>
      <c r="F62" t="s">
        <v>7</v>
      </c>
      <c r="G62" t="s">
        <v>106</v>
      </c>
      <c r="H62" t="s">
        <v>84</v>
      </c>
      <c r="I62" t="s">
        <v>165</v>
      </c>
    </row>
    <row r="63" spans="1:9" x14ac:dyDescent="0.35">
      <c r="A63" t="s">
        <v>108</v>
      </c>
      <c r="B63" t="s">
        <v>93</v>
      </c>
      <c r="C63" t="s">
        <v>109</v>
      </c>
      <c r="D63" t="s">
        <v>104</v>
      </c>
      <c r="E63" t="s">
        <v>110</v>
      </c>
      <c r="F63" t="s">
        <v>7</v>
      </c>
      <c r="G63" t="s">
        <v>111</v>
      </c>
      <c r="H63" t="s">
        <v>16</v>
      </c>
      <c r="I63" t="s">
        <v>166</v>
      </c>
    </row>
    <row r="64" spans="1:9" x14ac:dyDescent="0.35">
      <c r="A64" t="s">
        <v>113</v>
      </c>
      <c r="B64" t="s">
        <v>114</v>
      </c>
      <c r="C64" t="s">
        <v>115</v>
      </c>
      <c r="D64" t="s">
        <v>104</v>
      </c>
      <c r="E64" t="s">
        <v>116</v>
      </c>
      <c r="F64" t="s">
        <v>7</v>
      </c>
      <c r="G64" t="s">
        <v>117</v>
      </c>
      <c r="H64" t="s">
        <v>16</v>
      </c>
      <c r="I64" t="s">
        <v>167</v>
      </c>
    </row>
    <row r="65" spans="1:9" x14ac:dyDescent="0.35">
      <c r="A65" t="s">
        <v>119</v>
      </c>
      <c r="B65" t="s">
        <v>120</v>
      </c>
      <c r="C65" t="s">
        <v>121</v>
      </c>
      <c r="D65" t="s">
        <v>104</v>
      </c>
      <c r="E65" t="s">
        <v>82</v>
      </c>
      <c r="F65" t="s">
        <v>7</v>
      </c>
      <c r="G65" t="s">
        <v>83</v>
      </c>
      <c r="H65" t="s">
        <v>16</v>
      </c>
      <c r="I65" t="s">
        <v>168</v>
      </c>
    </row>
    <row r="66" spans="1:9" x14ac:dyDescent="0.35">
      <c r="A66" t="s">
        <v>122</v>
      </c>
      <c r="B66" t="s">
        <v>123</v>
      </c>
      <c r="C66" t="s">
        <v>124</v>
      </c>
      <c r="D66" t="s">
        <v>5</v>
      </c>
      <c r="E66" t="s">
        <v>99</v>
      </c>
      <c r="F66" t="s">
        <v>7</v>
      </c>
      <c r="G66" t="s">
        <v>100</v>
      </c>
      <c r="H66" t="s">
        <v>169</v>
      </c>
      <c r="I66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3BE09-AE78-4943-A94B-B02E080A1808}">
  <dimension ref="A1:K66"/>
  <sheetViews>
    <sheetView workbookViewId="0">
      <selection sqref="A1:XFD1"/>
    </sheetView>
  </sheetViews>
  <sheetFormatPr defaultRowHeight="14.5" x14ac:dyDescent="0.35"/>
  <cols>
    <col min="4" max="4" width="18.7265625" customWidth="1"/>
    <col min="9" max="9" width="11.6328125" customWidth="1"/>
  </cols>
  <sheetData>
    <row r="1" spans="1:11" x14ac:dyDescent="0.35">
      <c r="A1" s="2" t="s">
        <v>345</v>
      </c>
      <c r="B1" s="2" t="s">
        <v>344</v>
      </c>
      <c r="C1" s="2" t="s">
        <v>343</v>
      </c>
      <c r="D1" s="2" t="s">
        <v>572</v>
      </c>
      <c r="E1" s="2" t="s">
        <v>342</v>
      </c>
      <c r="F1" s="2" t="s">
        <v>341</v>
      </c>
      <c r="G1" s="2" t="s">
        <v>340</v>
      </c>
      <c r="H1" s="2" t="s">
        <v>339</v>
      </c>
      <c r="I1" s="2" t="s">
        <v>573</v>
      </c>
      <c r="J1" s="2" t="s">
        <v>338</v>
      </c>
    </row>
    <row r="2" spans="1:11" x14ac:dyDescent="0.35">
      <c r="A2" s="1">
        <v>1</v>
      </c>
      <c r="B2" s="1">
        <v>4.5720000000000001</v>
      </c>
      <c r="C2" s="1">
        <v>2.286</v>
      </c>
      <c r="D2" s="1">
        <f>2*C2</f>
        <v>4.5720000000000001</v>
      </c>
      <c r="E2" s="1">
        <v>3.55</v>
      </c>
      <c r="F2" s="1">
        <v>6.9</v>
      </c>
      <c r="G2" s="1">
        <v>3.14</v>
      </c>
      <c r="H2" s="1">
        <v>274.32</v>
      </c>
      <c r="I2" s="1">
        <v>2.7441E-2</v>
      </c>
      <c r="J2" s="1">
        <v>278</v>
      </c>
    </row>
    <row r="3" spans="1:11" x14ac:dyDescent="0.35">
      <c r="A3" s="1">
        <v>3</v>
      </c>
      <c r="B3" s="1">
        <v>3.048</v>
      </c>
      <c r="C3" s="1">
        <v>1.524</v>
      </c>
      <c r="D3" s="1">
        <f t="shared" ref="D3:D43" si="0">2*C3</f>
        <v>3.048</v>
      </c>
      <c r="E3" s="1">
        <v>0.45</v>
      </c>
      <c r="F3" s="1">
        <v>0.8</v>
      </c>
      <c r="G3" s="1">
        <v>3.14</v>
      </c>
      <c r="H3" s="1">
        <v>914.4</v>
      </c>
      <c r="I3" s="1">
        <v>3.4399999999999999E-3</v>
      </c>
      <c r="J3" s="1">
        <v>916</v>
      </c>
    </row>
    <row r="4" spans="1:11" x14ac:dyDescent="0.35">
      <c r="A4" s="1">
        <v>5</v>
      </c>
      <c r="B4" s="1">
        <v>1.524</v>
      </c>
      <c r="C4" s="1">
        <v>0.76200000000000001</v>
      </c>
      <c r="D4" s="1">
        <f t="shared" si="0"/>
        <v>1.524</v>
      </c>
      <c r="E4" s="1">
        <v>5.26</v>
      </c>
      <c r="F4" s="1">
        <v>10.9</v>
      </c>
      <c r="G4" s="1">
        <v>3.14</v>
      </c>
      <c r="H4" s="1">
        <v>259.08</v>
      </c>
      <c r="I4" s="1">
        <v>2.8310000000000002E-3</v>
      </c>
      <c r="J4" s="1">
        <v>254</v>
      </c>
    </row>
    <row r="5" spans="1:11" x14ac:dyDescent="0.35">
      <c r="A5" s="1">
        <v>6</v>
      </c>
      <c r="B5" s="1">
        <v>3.81</v>
      </c>
      <c r="C5" s="1">
        <v>1.905</v>
      </c>
      <c r="D5" s="1">
        <f t="shared" si="0"/>
        <v>3.81</v>
      </c>
      <c r="E5" s="1">
        <v>4.03</v>
      </c>
      <c r="F5" s="1">
        <v>3.8</v>
      </c>
      <c r="G5" s="1">
        <v>3.14</v>
      </c>
      <c r="H5" s="1">
        <v>91.44</v>
      </c>
      <c r="I5" s="1">
        <v>0.50105</v>
      </c>
      <c r="J5" s="1">
        <v>100</v>
      </c>
      <c r="K5" t="s">
        <v>346</v>
      </c>
    </row>
    <row r="6" spans="1:11" x14ac:dyDescent="0.35">
      <c r="A6" s="1">
        <v>8</v>
      </c>
      <c r="B6" s="1">
        <v>1.524</v>
      </c>
      <c r="C6" s="1">
        <v>0.76200000000000001</v>
      </c>
      <c r="D6" s="1">
        <f t="shared" si="0"/>
        <v>1.524</v>
      </c>
      <c r="E6" s="1">
        <v>29.64</v>
      </c>
      <c r="F6" s="1">
        <v>2.4</v>
      </c>
      <c r="G6" s="1">
        <v>3.14</v>
      </c>
      <c r="H6" s="1">
        <v>76.2</v>
      </c>
      <c r="I6" s="1">
        <v>7.3343000000000005E-2</v>
      </c>
      <c r="J6" s="1">
        <v>70</v>
      </c>
    </row>
    <row r="7" spans="1:11" x14ac:dyDescent="0.35">
      <c r="A7" s="1">
        <v>9</v>
      </c>
      <c r="B7" s="1">
        <v>3.81</v>
      </c>
      <c r="C7" s="1">
        <v>1.905</v>
      </c>
      <c r="D7" s="1">
        <f t="shared" si="0"/>
        <v>3.81</v>
      </c>
      <c r="E7" s="1">
        <v>0.68</v>
      </c>
      <c r="F7" s="1">
        <v>2.1</v>
      </c>
      <c r="G7" s="1">
        <v>3.14</v>
      </c>
      <c r="H7" s="1">
        <v>106.68</v>
      </c>
      <c r="I7" s="1">
        <v>3.3284000000000001E-2</v>
      </c>
      <c r="J7" s="1">
        <v>98</v>
      </c>
    </row>
    <row r="8" spans="1:11" x14ac:dyDescent="0.35">
      <c r="A8" s="1">
        <v>10</v>
      </c>
      <c r="B8" s="1">
        <v>5.3339999999999996</v>
      </c>
      <c r="C8" s="1">
        <v>2.6669999999999998</v>
      </c>
      <c r="D8" s="1">
        <f t="shared" si="0"/>
        <v>5.3339999999999996</v>
      </c>
      <c r="E8" s="1">
        <v>18.27</v>
      </c>
      <c r="F8" s="1">
        <v>1.9</v>
      </c>
      <c r="G8" s="1">
        <v>3.14</v>
      </c>
      <c r="H8" s="1">
        <v>350.52</v>
      </c>
      <c r="I8" s="1">
        <v>1.0456E-2</v>
      </c>
      <c r="J8" s="1">
        <v>346</v>
      </c>
    </row>
    <row r="9" spans="1:11" x14ac:dyDescent="0.35">
      <c r="A9" s="1">
        <v>11</v>
      </c>
      <c r="B9" s="1">
        <v>3.2004000000000001</v>
      </c>
      <c r="C9" s="1">
        <v>1.6</v>
      </c>
      <c r="D9" s="1">
        <f t="shared" si="0"/>
        <v>3.2</v>
      </c>
      <c r="E9" s="1">
        <v>1.806</v>
      </c>
      <c r="F9" s="1">
        <v>5</v>
      </c>
      <c r="G9" s="1">
        <v>3.14</v>
      </c>
      <c r="H9" s="1">
        <v>182.88</v>
      </c>
      <c r="I9" s="1">
        <v>1.1845E-2</v>
      </c>
      <c r="J9" s="1">
        <v>191</v>
      </c>
    </row>
    <row r="10" spans="1:11" x14ac:dyDescent="0.35">
      <c r="A10" s="1">
        <v>13</v>
      </c>
      <c r="B10" s="1">
        <v>1.524</v>
      </c>
      <c r="C10" s="1">
        <v>0.76200000000000001</v>
      </c>
      <c r="D10" s="1">
        <f t="shared" si="0"/>
        <v>1.524</v>
      </c>
      <c r="E10" s="1">
        <v>12.84</v>
      </c>
      <c r="F10" s="1">
        <v>6.5</v>
      </c>
      <c r="G10" s="1">
        <v>3.14</v>
      </c>
      <c r="H10" s="1">
        <v>109.72799999999999</v>
      </c>
      <c r="I10" s="1">
        <v>0.50105</v>
      </c>
      <c r="J10" s="1">
        <v>105</v>
      </c>
      <c r="K10" t="s">
        <v>346</v>
      </c>
    </row>
    <row r="11" spans="1:11" x14ac:dyDescent="0.35">
      <c r="A11" s="1">
        <v>14</v>
      </c>
      <c r="B11" s="1">
        <v>3.81</v>
      </c>
      <c r="C11" s="1">
        <v>1.905</v>
      </c>
      <c r="D11" s="1">
        <f t="shared" si="0"/>
        <v>3.81</v>
      </c>
      <c r="E11" s="1">
        <v>8.18</v>
      </c>
      <c r="F11" s="1">
        <v>8.6</v>
      </c>
      <c r="G11" s="1">
        <v>3.14</v>
      </c>
      <c r="H11" s="1">
        <v>219.45599999999999</v>
      </c>
      <c r="I11" s="1">
        <v>8.0060999999999993E-2</v>
      </c>
      <c r="J11" s="1">
        <v>229</v>
      </c>
    </row>
    <row r="12" spans="1:11" x14ac:dyDescent="0.35">
      <c r="A12" s="1">
        <v>15</v>
      </c>
      <c r="B12" s="1">
        <v>1.524</v>
      </c>
      <c r="C12" s="1">
        <v>0.76200000000000001</v>
      </c>
      <c r="D12" s="1">
        <f t="shared" si="0"/>
        <v>1.524</v>
      </c>
      <c r="E12" s="1">
        <v>13.8</v>
      </c>
      <c r="F12" s="1">
        <v>9</v>
      </c>
      <c r="G12" s="1">
        <v>3.14</v>
      </c>
      <c r="H12" s="1">
        <v>96.012</v>
      </c>
      <c r="I12" s="1">
        <v>0.18920600000000001</v>
      </c>
      <c r="J12" s="1">
        <v>96</v>
      </c>
      <c r="K12" t="s">
        <v>346</v>
      </c>
    </row>
    <row r="13" spans="1:11" x14ac:dyDescent="0.35">
      <c r="A13" s="1">
        <v>17</v>
      </c>
      <c r="B13" s="1">
        <v>2.286</v>
      </c>
      <c r="C13" s="1">
        <v>1.143</v>
      </c>
      <c r="D13" s="1">
        <f t="shared" si="0"/>
        <v>2.286</v>
      </c>
      <c r="E13" s="1">
        <v>84.9</v>
      </c>
      <c r="F13" s="1">
        <v>8.1999999999999993</v>
      </c>
      <c r="G13" s="1">
        <v>3.14</v>
      </c>
      <c r="H13" s="1">
        <v>128.01599999999999</v>
      </c>
      <c r="I13" s="1">
        <v>3.9470999999999999E-2</v>
      </c>
      <c r="J13" s="1">
        <v>133</v>
      </c>
    </row>
    <row r="14" spans="1:11" x14ac:dyDescent="0.35">
      <c r="A14" s="1">
        <v>18</v>
      </c>
      <c r="B14" s="1">
        <v>3.81</v>
      </c>
      <c r="C14" s="1">
        <v>1.905</v>
      </c>
      <c r="D14" s="1">
        <f t="shared" si="0"/>
        <v>3.81</v>
      </c>
      <c r="E14" s="1">
        <v>22.9</v>
      </c>
      <c r="F14" s="1">
        <v>8.3000000000000007</v>
      </c>
      <c r="G14" s="1">
        <v>3.14</v>
      </c>
      <c r="H14" s="1">
        <v>914.4</v>
      </c>
      <c r="I14" s="1">
        <v>0.158022</v>
      </c>
      <c r="J14" s="1">
        <v>908</v>
      </c>
      <c r="K14" t="s">
        <v>346</v>
      </c>
    </row>
    <row r="15" spans="1:11" x14ac:dyDescent="0.35">
      <c r="A15" s="1">
        <v>19</v>
      </c>
      <c r="B15" s="1">
        <v>4.5720000000000001</v>
      </c>
      <c r="C15" s="1">
        <v>2.286</v>
      </c>
      <c r="D15" s="1">
        <f t="shared" si="0"/>
        <v>4.5720000000000001</v>
      </c>
      <c r="E15" s="1">
        <v>49.3</v>
      </c>
      <c r="F15" s="1">
        <v>7.5</v>
      </c>
      <c r="G15" s="1">
        <v>3.14</v>
      </c>
      <c r="H15" s="1">
        <v>192.024</v>
      </c>
      <c r="I15" s="1">
        <v>2.5051E-2</v>
      </c>
      <c r="J15" s="1">
        <v>188</v>
      </c>
    </row>
    <row r="16" spans="1:11" x14ac:dyDescent="0.35">
      <c r="A16" s="1">
        <v>20</v>
      </c>
      <c r="B16" s="1">
        <v>1.524</v>
      </c>
      <c r="C16" s="1">
        <v>0.76200000000000001</v>
      </c>
      <c r="D16" s="1">
        <f t="shared" si="0"/>
        <v>1.524</v>
      </c>
      <c r="E16" s="1">
        <v>90.21</v>
      </c>
      <c r="F16" s="1">
        <v>6.8</v>
      </c>
      <c r="G16" s="1">
        <v>3.14</v>
      </c>
      <c r="H16" s="1">
        <v>60.96</v>
      </c>
      <c r="I16" s="1">
        <v>7.6841999999999994E-2</v>
      </c>
      <c r="J16" s="1">
        <v>63</v>
      </c>
    </row>
    <row r="17" spans="1:11" x14ac:dyDescent="0.35">
      <c r="A17" s="1">
        <v>21</v>
      </c>
      <c r="B17" s="1">
        <v>2.286</v>
      </c>
      <c r="C17" s="1">
        <v>1.143</v>
      </c>
      <c r="D17" s="1">
        <f t="shared" si="0"/>
        <v>2.286</v>
      </c>
      <c r="E17" s="1">
        <v>0.46899999999999997</v>
      </c>
      <c r="F17" s="1">
        <v>11.2</v>
      </c>
      <c r="G17" s="1">
        <v>3.14</v>
      </c>
      <c r="H17" s="1">
        <v>60.96</v>
      </c>
      <c r="I17" s="1">
        <v>3.0739999999999999E-3</v>
      </c>
      <c r="J17" s="1">
        <v>52</v>
      </c>
    </row>
    <row r="18" spans="1:11" x14ac:dyDescent="0.35">
      <c r="A18" s="1">
        <v>23</v>
      </c>
      <c r="B18" s="1">
        <v>11</v>
      </c>
      <c r="C18" s="1">
        <v>5.5</v>
      </c>
      <c r="D18" s="1">
        <f t="shared" si="0"/>
        <v>11</v>
      </c>
      <c r="E18" s="1">
        <v>4.2460000000000004</v>
      </c>
      <c r="F18" s="1">
        <v>7.9</v>
      </c>
      <c r="G18" s="1">
        <v>3.14</v>
      </c>
      <c r="H18" s="1">
        <v>420</v>
      </c>
      <c r="I18" s="1">
        <v>0.116026</v>
      </c>
      <c r="J18" s="1">
        <v>423</v>
      </c>
      <c r="K18" t="s">
        <v>346</v>
      </c>
    </row>
    <row r="19" spans="1:11" x14ac:dyDescent="0.35">
      <c r="A19" s="1">
        <v>24</v>
      </c>
      <c r="B19" s="1">
        <v>3.048</v>
      </c>
      <c r="C19" s="1">
        <v>1.524</v>
      </c>
      <c r="D19" s="1">
        <f t="shared" si="0"/>
        <v>3.048</v>
      </c>
      <c r="E19" s="1">
        <v>67</v>
      </c>
      <c r="F19" s="1">
        <v>3.7</v>
      </c>
      <c r="G19" s="1">
        <v>3.14</v>
      </c>
      <c r="H19" s="1">
        <v>207.26400000000001</v>
      </c>
      <c r="I19" s="1">
        <v>1.7426000000000001E-2</v>
      </c>
      <c r="J19" s="1">
        <v>214</v>
      </c>
    </row>
    <row r="20" spans="1:11" x14ac:dyDescent="0.35">
      <c r="A20" s="1">
        <v>26</v>
      </c>
      <c r="B20" s="1">
        <v>4.2671999999999999</v>
      </c>
      <c r="C20" s="1">
        <v>2.1339999999999999</v>
      </c>
      <c r="D20" s="1">
        <f t="shared" si="0"/>
        <v>4.2679999999999998</v>
      </c>
      <c r="E20" s="1">
        <v>25.4</v>
      </c>
      <c r="F20" s="1">
        <v>5.5</v>
      </c>
      <c r="G20" s="1">
        <v>3.14</v>
      </c>
      <c r="H20" s="1">
        <v>71.3232</v>
      </c>
      <c r="I20" s="1">
        <v>8.3467E-2</v>
      </c>
      <c r="J20" s="1">
        <v>64</v>
      </c>
    </row>
    <row r="21" spans="1:11" x14ac:dyDescent="0.35">
      <c r="A21" s="1">
        <v>27</v>
      </c>
      <c r="B21" s="1">
        <v>2.1335999999999999</v>
      </c>
      <c r="C21" s="1">
        <v>1.0669999999999999</v>
      </c>
      <c r="D21" s="1">
        <f t="shared" si="0"/>
        <v>2.1339999999999999</v>
      </c>
      <c r="E21" s="1">
        <v>1.504</v>
      </c>
      <c r="F21" s="1">
        <v>2.4</v>
      </c>
      <c r="G21" s="1">
        <v>3.14</v>
      </c>
      <c r="H21" s="1">
        <v>396.24</v>
      </c>
      <c r="I21" s="1">
        <v>5.0229999999999997E-3</v>
      </c>
      <c r="J21" s="1">
        <v>401</v>
      </c>
    </row>
    <row r="22" spans="1:11" x14ac:dyDescent="0.35">
      <c r="A22" s="1">
        <v>28</v>
      </c>
      <c r="B22" s="1">
        <v>1.0668</v>
      </c>
      <c r="C22" s="1">
        <v>0.53300000000000003</v>
      </c>
      <c r="D22" s="1">
        <f t="shared" si="0"/>
        <v>1.0660000000000001</v>
      </c>
      <c r="E22" s="1">
        <v>5.375</v>
      </c>
      <c r="F22" s="1">
        <v>5.5</v>
      </c>
      <c r="G22" s="1">
        <v>3.14</v>
      </c>
      <c r="H22" s="1">
        <v>457.2</v>
      </c>
      <c r="I22" s="1">
        <v>2.343E-3</v>
      </c>
      <c r="J22" s="1">
        <v>448</v>
      </c>
    </row>
    <row r="23" spans="1:11" x14ac:dyDescent="0.35">
      <c r="A23" s="1">
        <v>30</v>
      </c>
      <c r="B23" s="1">
        <v>1.5249999999999999</v>
      </c>
      <c r="C23" s="1">
        <v>0.76200000000000001</v>
      </c>
      <c r="D23" s="1">
        <f t="shared" si="0"/>
        <v>1.524</v>
      </c>
      <c r="E23" s="1">
        <v>5.22</v>
      </c>
      <c r="F23" s="1">
        <v>5.7</v>
      </c>
      <c r="G23" s="1">
        <v>3.14</v>
      </c>
      <c r="H23" s="1">
        <v>152</v>
      </c>
      <c r="I23" s="1">
        <v>1.7691999999999999E-2</v>
      </c>
      <c r="J23" s="1">
        <v>153</v>
      </c>
    </row>
    <row r="24" spans="1:11" x14ac:dyDescent="0.35">
      <c r="A24" s="1">
        <v>33</v>
      </c>
      <c r="B24" s="1">
        <v>0.30499999999999999</v>
      </c>
      <c r="C24" s="1">
        <v>0.152</v>
      </c>
      <c r="D24" s="1">
        <f t="shared" si="0"/>
        <v>0.30399999999999999</v>
      </c>
      <c r="E24" s="1">
        <v>5.48</v>
      </c>
      <c r="F24" s="1">
        <v>7.4</v>
      </c>
      <c r="G24" s="1">
        <v>3.14</v>
      </c>
      <c r="H24" s="1">
        <v>107</v>
      </c>
      <c r="I24" s="1">
        <v>5.8799999999999998E-4</v>
      </c>
      <c r="J24" s="1">
        <v>117</v>
      </c>
    </row>
    <row r="25" spans="1:11" x14ac:dyDescent="0.35">
      <c r="A25" s="1">
        <v>34</v>
      </c>
      <c r="B25" s="1">
        <v>1.5249999999999999</v>
      </c>
      <c r="C25" s="1">
        <v>0.76200000000000001</v>
      </c>
      <c r="D25" s="1">
        <f t="shared" si="0"/>
        <v>1.524</v>
      </c>
      <c r="E25" s="1">
        <v>48.65</v>
      </c>
      <c r="F25" s="1">
        <v>0.42</v>
      </c>
      <c r="G25" s="1">
        <v>3.14</v>
      </c>
      <c r="H25" s="1">
        <v>85</v>
      </c>
      <c r="I25" s="1">
        <v>2.9846999999999999E-2</v>
      </c>
      <c r="J25" s="1">
        <v>79</v>
      </c>
    </row>
    <row r="26" spans="1:11" x14ac:dyDescent="0.35">
      <c r="A26" s="1">
        <v>35</v>
      </c>
      <c r="B26" s="1">
        <v>5.335</v>
      </c>
      <c r="C26" s="1">
        <v>2.6669999999999998</v>
      </c>
      <c r="D26" s="1">
        <f t="shared" si="0"/>
        <v>5.3339999999999996</v>
      </c>
      <c r="E26" s="1">
        <v>18.27</v>
      </c>
      <c r="F26" s="1">
        <v>1.9</v>
      </c>
      <c r="G26" s="1">
        <v>3.14</v>
      </c>
      <c r="H26" s="1">
        <v>229</v>
      </c>
      <c r="I26" s="1">
        <v>1.5966000000000001E-2</v>
      </c>
      <c r="J26" s="1">
        <v>221</v>
      </c>
    </row>
    <row r="27" spans="1:11" x14ac:dyDescent="0.35">
      <c r="A27" s="1">
        <v>36</v>
      </c>
      <c r="B27" s="1">
        <v>4.57</v>
      </c>
      <c r="C27" s="1">
        <v>2.2850000000000001</v>
      </c>
      <c r="D27" s="1">
        <f t="shared" si="0"/>
        <v>4.57</v>
      </c>
      <c r="E27" s="1">
        <v>3.23</v>
      </c>
      <c r="F27" s="1">
        <v>0.1</v>
      </c>
      <c r="G27" s="1">
        <v>3.14</v>
      </c>
      <c r="H27" s="1">
        <v>198</v>
      </c>
      <c r="I27" s="1">
        <v>1.1974E-2</v>
      </c>
      <c r="J27" s="1">
        <v>206</v>
      </c>
    </row>
    <row r="28" spans="1:11" x14ac:dyDescent="0.35">
      <c r="A28" s="1">
        <v>37</v>
      </c>
      <c r="B28" s="1">
        <v>7.62</v>
      </c>
      <c r="C28" s="1">
        <v>3.81</v>
      </c>
      <c r="D28" s="1">
        <f t="shared" si="0"/>
        <v>7.62</v>
      </c>
      <c r="E28" s="1">
        <v>6.01</v>
      </c>
      <c r="F28" s="1">
        <v>10</v>
      </c>
      <c r="G28" s="1">
        <v>3.14</v>
      </c>
      <c r="H28" s="1">
        <v>853</v>
      </c>
      <c r="I28" s="3">
        <v>2.75E-2</v>
      </c>
      <c r="J28" s="1">
        <v>845</v>
      </c>
    </row>
    <row r="29" spans="1:11" x14ac:dyDescent="0.35">
      <c r="A29" s="1">
        <v>38</v>
      </c>
      <c r="B29" s="1">
        <v>1.22</v>
      </c>
      <c r="C29" s="1">
        <v>0.61</v>
      </c>
      <c r="D29" s="1">
        <f t="shared" si="0"/>
        <v>1.22</v>
      </c>
      <c r="E29" s="1">
        <v>0.96</v>
      </c>
      <c r="F29" s="1">
        <v>3.9</v>
      </c>
      <c r="G29" s="1">
        <v>3.14</v>
      </c>
      <c r="H29" s="1">
        <v>30</v>
      </c>
      <c r="I29" s="1">
        <v>9.8960000000000003E-3</v>
      </c>
      <c r="J29" s="1">
        <v>29</v>
      </c>
    </row>
    <row r="30" spans="1:11" x14ac:dyDescent="0.35">
      <c r="A30" s="1">
        <v>39</v>
      </c>
      <c r="B30" s="1">
        <v>1.22</v>
      </c>
      <c r="C30" s="1">
        <v>0.61</v>
      </c>
      <c r="D30" s="1">
        <f t="shared" si="0"/>
        <v>1.22</v>
      </c>
      <c r="E30" s="1">
        <v>13.8</v>
      </c>
      <c r="F30" s="1">
        <v>7.6</v>
      </c>
      <c r="G30" s="1">
        <v>3.14</v>
      </c>
      <c r="H30" s="1">
        <v>64</v>
      </c>
      <c r="I30" s="3">
        <v>1</v>
      </c>
      <c r="J30" s="1">
        <v>62</v>
      </c>
      <c r="K30" t="s">
        <v>346</v>
      </c>
    </row>
    <row r="31" spans="1:11" x14ac:dyDescent="0.35">
      <c r="A31" s="1">
        <v>40</v>
      </c>
      <c r="B31" s="1">
        <v>8.3800000000000008</v>
      </c>
      <c r="C31" s="1">
        <v>4.1900000000000004</v>
      </c>
      <c r="D31" s="1">
        <f t="shared" si="0"/>
        <v>8.3800000000000008</v>
      </c>
      <c r="E31" s="1">
        <v>32.56</v>
      </c>
      <c r="F31" s="1">
        <v>9.82</v>
      </c>
      <c r="G31" s="1">
        <v>3.14</v>
      </c>
      <c r="H31" s="1">
        <v>244</v>
      </c>
      <c r="I31" s="1">
        <v>1.6785999999999999E-2</v>
      </c>
      <c r="J31" s="1">
        <v>236</v>
      </c>
    </row>
    <row r="32" spans="1:11" x14ac:dyDescent="0.35">
      <c r="A32" s="1">
        <v>41</v>
      </c>
      <c r="B32" s="1">
        <v>4.57</v>
      </c>
      <c r="C32" s="1">
        <v>2.2850000000000001</v>
      </c>
      <c r="D32" s="1">
        <f t="shared" si="0"/>
        <v>4.57</v>
      </c>
      <c r="E32" s="1">
        <v>15.6</v>
      </c>
      <c r="F32" s="1">
        <v>10.43</v>
      </c>
      <c r="G32" s="1">
        <v>3.14</v>
      </c>
      <c r="H32" s="1">
        <v>549</v>
      </c>
      <c r="I32" s="1">
        <v>9.7464999999999996E-2</v>
      </c>
      <c r="J32" s="1">
        <v>549</v>
      </c>
    </row>
    <row r="33" spans="1:11" x14ac:dyDescent="0.35">
      <c r="A33" s="1">
        <v>42</v>
      </c>
      <c r="B33" s="1">
        <v>3.05</v>
      </c>
      <c r="C33" s="1">
        <v>1.5249999999999999</v>
      </c>
      <c r="D33" s="1">
        <f t="shared" si="0"/>
        <v>3.05</v>
      </c>
      <c r="E33" s="1">
        <v>9.23</v>
      </c>
      <c r="F33" s="1">
        <v>7.7</v>
      </c>
      <c r="G33" s="1">
        <v>3.14</v>
      </c>
      <c r="H33" s="1">
        <v>152</v>
      </c>
      <c r="I33" s="1">
        <v>0.18920600000000001</v>
      </c>
      <c r="J33" s="1">
        <v>146</v>
      </c>
      <c r="K33" t="s">
        <v>346</v>
      </c>
    </row>
    <row r="34" spans="1:11" x14ac:dyDescent="0.35">
      <c r="A34" s="1">
        <v>43</v>
      </c>
      <c r="B34" s="1">
        <v>1.83</v>
      </c>
      <c r="C34" s="1">
        <v>0.91500000000000004</v>
      </c>
      <c r="D34" s="1">
        <f t="shared" si="0"/>
        <v>1.83</v>
      </c>
      <c r="E34" s="1">
        <v>3.13</v>
      </c>
      <c r="F34" s="1">
        <v>8</v>
      </c>
      <c r="G34" s="1">
        <v>3.14</v>
      </c>
      <c r="H34" s="1">
        <v>96</v>
      </c>
      <c r="I34" s="1">
        <v>9.8960000000000003E-3</v>
      </c>
      <c r="J34" s="1">
        <v>95</v>
      </c>
    </row>
    <row r="35" spans="1:11" x14ac:dyDescent="0.35">
      <c r="A35" s="1">
        <v>44</v>
      </c>
      <c r="B35" s="1">
        <v>6</v>
      </c>
      <c r="C35" s="1">
        <v>3</v>
      </c>
      <c r="D35" s="1">
        <f t="shared" si="0"/>
        <v>6</v>
      </c>
      <c r="E35" s="1">
        <v>7.0000000000000007E-2</v>
      </c>
      <c r="F35" s="1">
        <v>1</v>
      </c>
      <c r="G35" s="1">
        <v>3.17</v>
      </c>
      <c r="H35" s="1">
        <v>140</v>
      </c>
      <c r="I35" s="3">
        <v>1.188E-2</v>
      </c>
      <c r="J35" s="1">
        <v>130</v>
      </c>
    </row>
    <row r="36" spans="1:11" x14ac:dyDescent="0.35">
      <c r="A36" s="1">
        <v>45</v>
      </c>
      <c r="B36" s="1">
        <v>6</v>
      </c>
      <c r="C36" s="1">
        <v>3</v>
      </c>
      <c r="D36" s="1">
        <f t="shared" si="0"/>
        <v>6</v>
      </c>
      <c r="E36" s="1">
        <v>0.04</v>
      </c>
      <c r="F36" s="1">
        <v>1</v>
      </c>
      <c r="G36" s="1">
        <v>3.13</v>
      </c>
      <c r="H36" s="1">
        <v>90</v>
      </c>
      <c r="I36" s="3">
        <v>1.188E-2</v>
      </c>
      <c r="J36" s="1">
        <v>92</v>
      </c>
    </row>
    <row r="37" spans="1:11" x14ac:dyDescent="0.35">
      <c r="A37" s="1">
        <v>49</v>
      </c>
      <c r="B37" s="1">
        <v>6</v>
      </c>
      <c r="C37" s="1">
        <v>3</v>
      </c>
      <c r="D37" s="1">
        <f t="shared" si="0"/>
        <v>6</v>
      </c>
      <c r="E37" s="1">
        <v>0.7</v>
      </c>
      <c r="F37" s="1">
        <v>2</v>
      </c>
      <c r="G37" s="1">
        <v>3.17</v>
      </c>
      <c r="H37" s="1">
        <v>90</v>
      </c>
      <c r="I37" s="1">
        <v>0.12858700000000001</v>
      </c>
      <c r="J37" s="1">
        <v>85</v>
      </c>
      <c r="K37" t="s">
        <v>346</v>
      </c>
    </row>
    <row r="38" spans="1:11" x14ac:dyDescent="0.35">
      <c r="A38" s="1">
        <v>52</v>
      </c>
      <c r="B38" s="1">
        <v>7.5</v>
      </c>
      <c r="C38" s="1">
        <v>3.75</v>
      </c>
      <c r="D38" s="1">
        <f t="shared" si="0"/>
        <v>7.5</v>
      </c>
      <c r="E38" s="1">
        <v>0.31</v>
      </c>
      <c r="F38" s="1">
        <v>1</v>
      </c>
      <c r="G38" s="1">
        <v>3.14</v>
      </c>
      <c r="H38" s="1">
        <v>160</v>
      </c>
      <c r="I38" s="1">
        <v>7.1968000000000004E-2</v>
      </c>
      <c r="J38" s="1">
        <v>160</v>
      </c>
    </row>
    <row r="39" spans="1:11" x14ac:dyDescent="0.35">
      <c r="A39" s="1">
        <v>54</v>
      </c>
      <c r="B39" s="1">
        <v>5.5</v>
      </c>
      <c r="C39" s="1">
        <v>2.75</v>
      </c>
      <c r="D39" s="1">
        <f t="shared" si="0"/>
        <v>5.5</v>
      </c>
      <c r="E39" s="1">
        <v>33</v>
      </c>
      <c r="F39" s="1">
        <v>7.5</v>
      </c>
      <c r="G39" s="1">
        <v>3.14</v>
      </c>
      <c r="H39" s="1">
        <v>250</v>
      </c>
      <c r="I39" s="1">
        <v>2.1558999999999998E-2</v>
      </c>
      <c r="J39" s="1">
        <v>246</v>
      </c>
    </row>
    <row r="40" spans="1:11" x14ac:dyDescent="0.35">
      <c r="A40" s="1">
        <v>55</v>
      </c>
      <c r="B40" s="1">
        <v>3.7</v>
      </c>
      <c r="C40" s="1">
        <v>1.85</v>
      </c>
      <c r="D40" s="1">
        <f t="shared" si="0"/>
        <v>3.7</v>
      </c>
      <c r="E40" s="1">
        <v>123</v>
      </c>
      <c r="F40" s="1">
        <v>1.6</v>
      </c>
      <c r="G40" s="1">
        <v>3.08</v>
      </c>
      <c r="H40" s="1">
        <v>200</v>
      </c>
      <c r="I40" s="1">
        <v>1.1349E-2</v>
      </c>
      <c r="J40" s="1">
        <v>190</v>
      </c>
    </row>
    <row r="41" spans="1:11" x14ac:dyDescent="0.35">
      <c r="A41" s="1">
        <v>56</v>
      </c>
      <c r="B41" s="1">
        <v>3</v>
      </c>
      <c r="C41" s="1">
        <v>1.5</v>
      </c>
      <c r="D41" s="1">
        <f t="shared" si="0"/>
        <v>3</v>
      </c>
      <c r="E41" s="1">
        <v>230</v>
      </c>
      <c r="F41" s="1">
        <v>0.6</v>
      </c>
      <c r="G41" s="1">
        <v>3.14</v>
      </c>
      <c r="H41" s="1">
        <v>500</v>
      </c>
      <c r="I41" s="1">
        <v>3.473E-3</v>
      </c>
      <c r="J41" s="1">
        <v>499</v>
      </c>
    </row>
    <row r="42" spans="1:11" x14ac:dyDescent="0.35">
      <c r="A42" s="1">
        <v>57</v>
      </c>
      <c r="B42" s="1">
        <v>5</v>
      </c>
      <c r="C42" s="1">
        <v>2.5</v>
      </c>
      <c r="D42" s="1">
        <f t="shared" si="0"/>
        <v>5</v>
      </c>
      <c r="E42" s="1">
        <v>0.01</v>
      </c>
      <c r="F42" s="1">
        <v>4</v>
      </c>
      <c r="G42" s="1">
        <v>3.08</v>
      </c>
      <c r="H42" s="1">
        <v>100</v>
      </c>
      <c r="I42" s="1">
        <v>5.0720000000000001E-3</v>
      </c>
      <c r="J42" s="1">
        <v>101</v>
      </c>
    </row>
    <row r="43" spans="1:11" x14ac:dyDescent="0.35">
      <c r="A43" s="1">
        <v>61</v>
      </c>
      <c r="B43" s="1">
        <v>1.5</v>
      </c>
      <c r="C43" s="1">
        <v>0.75</v>
      </c>
      <c r="D43" s="1">
        <f t="shared" si="0"/>
        <v>1.5</v>
      </c>
      <c r="E43" s="1">
        <v>8.9</v>
      </c>
      <c r="F43" s="1">
        <v>0.99</v>
      </c>
      <c r="G43" s="1">
        <v>3.14</v>
      </c>
      <c r="H43" s="1">
        <v>250</v>
      </c>
      <c r="I43" s="1">
        <v>3.1042E-2</v>
      </c>
      <c r="J43" s="1">
        <v>249</v>
      </c>
    </row>
    <row r="47" spans="1:11" x14ac:dyDescent="0.35">
      <c r="A47" t="s">
        <v>1</v>
      </c>
      <c r="B47" t="s">
        <v>0</v>
      </c>
      <c r="C47" t="s">
        <v>0</v>
      </c>
      <c r="D47" t="s">
        <v>0</v>
      </c>
      <c r="E47" t="s">
        <v>0</v>
      </c>
      <c r="F47" t="s">
        <v>0</v>
      </c>
      <c r="G47" t="s">
        <v>0</v>
      </c>
      <c r="H47" t="s">
        <v>0</v>
      </c>
      <c r="I47" t="s">
        <v>0</v>
      </c>
    </row>
    <row r="48" spans="1:11" x14ac:dyDescent="0.35">
      <c r="A48" t="s">
        <v>170</v>
      </c>
      <c r="B48" t="s">
        <v>171</v>
      </c>
      <c r="C48" t="s">
        <v>172</v>
      </c>
      <c r="D48" t="s">
        <v>5</v>
      </c>
      <c r="E48" t="s">
        <v>173</v>
      </c>
      <c r="F48" t="s">
        <v>7</v>
      </c>
      <c r="G48" t="s">
        <v>174</v>
      </c>
      <c r="H48" t="s">
        <v>175</v>
      </c>
      <c r="I48" t="s">
        <v>10</v>
      </c>
    </row>
    <row r="49" spans="1:9" x14ac:dyDescent="0.35">
      <c r="A49" t="s">
        <v>133</v>
      </c>
      <c r="B49" t="s">
        <v>134</v>
      </c>
      <c r="C49" t="s">
        <v>135</v>
      </c>
      <c r="D49" t="s">
        <v>5</v>
      </c>
      <c r="E49" t="s">
        <v>136</v>
      </c>
      <c r="F49" t="s">
        <v>7</v>
      </c>
      <c r="G49" t="s">
        <v>137</v>
      </c>
      <c r="H49" t="s">
        <v>176</v>
      </c>
      <c r="I49" t="s">
        <v>177</v>
      </c>
    </row>
    <row r="50" spans="1:9" x14ac:dyDescent="0.35">
      <c r="A50" t="s">
        <v>139</v>
      </c>
      <c r="B50" t="s">
        <v>140</v>
      </c>
      <c r="C50" t="s">
        <v>141</v>
      </c>
      <c r="D50" t="s">
        <v>5</v>
      </c>
      <c r="E50" t="s">
        <v>142</v>
      </c>
      <c r="F50" t="s">
        <v>7</v>
      </c>
      <c r="G50" t="s">
        <v>143</v>
      </c>
      <c r="H50" t="s">
        <v>178</v>
      </c>
      <c r="I50" t="s">
        <v>10</v>
      </c>
    </row>
    <row r="51" spans="1:9" x14ac:dyDescent="0.35">
      <c r="A51" t="s">
        <v>11</v>
      </c>
      <c r="B51" t="s">
        <v>12</v>
      </c>
      <c r="C51" t="s">
        <v>13</v>
      </c>
      <c r="D51" t="s">
        <v>5</v>
      </c>
      <c r="E51" t="s">
        <v>14</v>
      </c>
      <c r="F51" t="s">
        <v>7</v>
      </c>
      <c r="G51" t="s">
        <v>15</v>
      </c>
      <c r="H51" t="s">
        <v>16</v>
      </c>
      <c r="I51" t="s">
        <v>91</v>
      </c>
    </row>
    <row r="52" spans="1:9" x14ac:dyDescent="0.35">
      <c r="A52" t="s">
        <v>179</v>
      </c>
      <c r="B52" t="s">
        <v>180</v>
      </c>
      <c r="C52" t="s">
        <v>181</v>
      </c>
      <c r="D52" t="s">
        <v>5</v>
      </c>
      <c r="E52" t="s">
        <v>182</v>
      </c>
      <c r="F52" t="s">
        <v>7</v>
      </c>
      <c r="G52" t="s">
        <v>183</v>
      </c>
      <c r="H52" t="s">
        <v>184</v>
      </c>
      <c r="I52" t="s">
        <v>10</v>
      </c>
    </row>
    <row r="53" spans="1:9" x14ac:dyDescent="0.35">
      <c r="A53" t="s">
        <v>185</v>
      </c>
      <c r="B53" t="s">
        <v>186</v>
      </c>
      <c r="C53" t="s">
        <v>187</v>
      </c>
      <c r="D53" t="s">
        <v>5</v>
      </c>
      <c r="E53" t="s">
        <v>188</v>
      </c>
      <c r="F53" t="s">
        <v>7</v>
      </c>
      <c r="G53" t="s">
        <v>189</v>
      </c>
      <c r="H53" t="s">
        <v>190</v>
      </c>
      <c r="I53" t="s">
        <v>10</v>
      </c>
    </row>
    <row r="54" spans="1:9" x14ac:dyDescent="0.35">
      <c r="A54" t="s">
        <v>36</v>
      </c>
      <c r="B54" t="s">
        <v>37</v>
      </c>
      <c r="C54" t="s">
        <v>38</v>
      </c>
      <c r="D54" t="s">
        <v>5</v>
      </c>
      <c r="E54" t="s">
        <v>39</v>
      </c>
      <c r="F54" t="s">
        <v>7</v>
      </c>
      <c r="G54" t="s">
        <v>40</v>
      </c>
      <c r="H54" t="s">
        <v>16</v>
      </c>
      <c r="I54" t="s">
        <v>191</v>
      </c>
    </row>
    <row r="55" spans="1:9" x14ac:dyDescent="0.35">
      <c r="A55" t="s">
        <v>54</v>
      </c>
      <c r="B55" t="s">
        <v>55</v>
      </c>
      <c r="C55" t="s">
        <v>56</v>
      </c>
      <c r="D55" t="s">
        <v>5</v>
      </c>
      <c r="E55" t="s">
        <v>57</v>
      </c>
      <c r="F55" t="s">
        <v>7</v>
      </c>
      <c r="G55" t="s">
        <v>58</v>
      </c>
      <c r="H55" t="s">
        <v>0</v>
      </c>
      <c r="I55" t="s">
        <v>0</v>
      </c>
    </row>
    <row r="56" spans="1:9" x14ac:dyDescent="0.35">
      <c r="A56" t="s">
        <v>192</v>
      </c>
      <c r="B56" t="s">
        <v>193</v>
      </c>
      <c r="C56" t="s">
        <v>194</v>
      </c>
      <c r="D56" t="s">
        <v>5</v>
      </c>
      <c r="E56" t="s">
        <v>195</v>
      </c>
      <c r="F56" t="s">
        <v>7</v>
      </c>
      <c r="G56" t="s">
        <v>196</v>
      </c>
      <c r="H56" t="s">
        <v>197</v>
      </c>
      <c r="I56" t="s">
        <v>10</v>
      </c>
    </row>
    <row r="57" spans="1:9" x14ac:dyDescent="0.35">
      <c r="A57" t="s">
        <v>59</v>
      </c>
      <c r="B57" t="s">
        <v>60</v>
      </c>
      <c r="C57" t="s">
        <v>61</v>
      </c>
      <c r="D57" t="s">
        <v>5</v>
      </c>
      <c r="E57" t="s">
        <v>62</v>
      </c>
      <c r="F57" t="s">
        <v>7</v>
      </c>
      <c r="G57" t="s">
        <v>63</v>
      </c>
      <c r="H57" t="s">
        <v>198</v>
      </c>
      <c r="I57" t="s">
        <v>10</v>
      </c>
    </row>
    <row r="58" spans="1:9" x14ac:dyDescent="0.35">
      <c r="A58" t="s">
        <v>199</v>
      </c>
      <c r="B58" t="s">
        <v>200</v>
      </c>
      <c r="C58" t="s">
        <v>80</v>
      </c>
      <c r="D58" t="s">
        <v>81</v>
      </c>
      <c r="E58" t="s">
        <v>94</v>
      </c>
      <c r="F58" t="s">
        <v>7</v>
      </c>
      <c r="G58" t="s">
        <v>95</v>
      </c>
      <c r="H58" t="s">
        <v>201</v>
      </c>
      <c r="I58" t="s">
        <v>10</v>
      </c>
    </row>
    <row r="59" spans="1:9" x14ac:dyDescent="0.35">
      <c r="A59" t="s">
        <v>202</v>
      </c>
      <c r="B59" t="s">
        <v>4</v>
      </c>
      <c r="C59" t="s">
        <v>203</v>
      </c>
      <c r="D59" t="s">
        <v>81</v>
      </c>
      <c r="E59" t="s">
        <v>89</v>
      </c>
      <c r="F59" t="s">
        <v>7</v>
      </c>
      <c r="G59" t="s">
        <v>90</v>
      </c>
      <c r="H59" t="s">
        <v>204</v>
      </c>
      <c r="I59" t="s">
        <v>10</v>
      </c>
    </row>
    <row r="60" spans="1:9" x14ac:dyDescent="0.35">
      <c r="A60" t="s">
        <v>205</v>
      </c>
      <c r="B60" t="s">
        <v>206</v>
      </c>
      <c r="C60" t="s">
        <v>203</v>
      </c>
      <c r="D60" t="s">
        <v>81</v>
      </c>
      <c r="E60" t="s">
        <v>207</v>
      </c>
      <c r="F60" t="s">
        <v>7</v>
      </c>
      <c r="G60" t="s">
        <v>208</v>
      </c>
      <c r="H60" t="s">
        <v>209</v>
      </c>
      <c r="I60" t="s">
        <v>10</v>
      </c>
    </row>
    <row r="61" spans="1:9" x14ac:dyDescent="0.35">
      <c r="A61" t="s">
        <v>210</v>
      </c>
      <c r="B61" t="s">
        <v>211</v>
      </c>
      <c r="C61" t="s">
        <v>80</v>
      </c>
      <c r="D61" t="s">
        <v>104</v>
      </c>
      <c r="E61" t="s">
        <v>212</v>
      </c>
      <c r="F61" t="s">
        <v>7</v>
      </c>
      <c r="G61" t="s">
        <v>213</v>
      </c>
      <c r="H61" t="s">
        <v>214</v>
      </c>
      <c r="I61" t="s">
        <v>215</v>
      </c>
    </row>
    <row r="62" spans="1:9" x14ac:dyDescent="0.35">
      <c r="A62" t="s">
        <v>216</v>
      </c>
      <c r="B62" t="s">
        <v>217</v>
      </c>
      <c r="C62" t="s">
        <v>80</v>
      </c>
      <c r="D62" t="s">
        <v>81</v>
      </c>
      <c r="E62" t="s">
        <v>105</v>
      </c>
      <c r="F62" t="s">
        <v>7</v>
      </c>
      <c r="G62" t="s">
        <v>106</v>
      </c>
      <c r="H62" t="s">
        <v>214</v>
      </c>
      <c r="I62" t="s">
        <v>215</v>
      </c>
    </row>
    <row r="63" spans="1:9" x14ac:dyDescent="0.35">
      <c r="A63" t="s">
        <v>92</v>
      </c>
      <c r="B63" t="s">
        <v>93</v>
      </c>
      <c r="C63" t="s">
        <v>26</v>
      </c>
      <c r="D63" t="s">
        <v>5</v>
      </c>
      <c r="E63" t="s">
        <v>94</v>
      </c>
      <c r="F63" t="s">
        <v>7</v>
      </c>
      <c r="G63" t="s">
        <v>95</v>
      </c>
      <c r="H63" t="s">
        <v>16</v>
      </c>
      <c r="I63" t="s">
        <v>218</v>
      </c>
    </row>
    <row r="64" spans="1:9" x14ac:dyDescent="0.35">
      <c r="A64" t="s">
        <v>108</v>
      </c>
      <c r="B64" t="s">
        <v>93</v>
      </c>
      <c r="C64" t="s">
        <v>109</v>
      </c>
      <c r="D64" t="s">
        <v>104</v>
      </c>
      <c r="E64" t="s">
        <v>110</v>
      </c>
      <c r="F64" t="s">
        <v>7</v>
      </c>
      <c r="G64" t="s">
        <v>111</v>
      </c>
      <c r="H64" t="s">
        <v>16</v>
      </c>
      <c r="I64" t="s">
        <v>219</v>
      </c>
    </row>
    <row r="65" spans="1:9" x14ac:dyDescent="0.35">
      <c r="A65" t="s">
        <v>113</v>
      </c>
      <c r="B65" t="s">
        <v>114</v>
      </c>
      <c r="C65" t="s">
        <v>115</v>
      </c>
      <c r="D65" t="s">
        <v>104</v>
      </c>
      <c r="E65" t="s">
        <v>116</v>
      </c>
      <c r="F65" t="s">
        <v>7</v>
      </c>
      <c r="G65" t="s">
        <v>117</v>
      </c>
      <c r="H65" t="s">
        <v>16</v>
      </c>
      <c r="I65" t="s">
        <v>112</v>
      </c>
    </row>
    <row r="66" spans="1:9" x14ac:dyDescent="0.35">
      <c r="A66" t="s">
        <v>119</v>
      </c>
      <c r="B66" t="s">
        <v>120</v>
      </c>
      <c r="C66" t="s">
        <v>121</v>
      </c>
      <c r="D66" t="s">
        <v>104</v>
      </c>
      <c r="E66" t="s">
        <v>82</v>
      </c>
      <c r="F66" t="s">
        <v>7</v>
      </c>
      <c r="G66" t="s">
        <v>83</v>
      </c>
      <c r="H66" t="s">
        <v>16</v>
      </c>
      <c r="I66" t="s">
        <v>220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347F6-C245-4E35-9B60-9DBF42C33379}">
  <dimension ref="A1:K66"/>
  <sheetViews>
    <sheetView workbookViewId="0">
      <selection sqref="A1:XFD1"/>
    </sheetView>
  </sheetViews>
  <sheetFormatPr defaultRowHeight="14.5" x14ac:dyDescent="0.35"/>
  <cols>
    <col min="4" max="4" width="24.81640625" customWidth="1"/>
  </cols>
  <sheetData>
    <row r="1" spans="1:11" x14ac:dyDescent="0.35">
      <c r="A1" s="2" t="s">
        <v>345</v>
      </c>
      <c r="B1" s="2" t="s">
        <v>344</v>
      </c>
      <c r="C1" s="2" t="s">
        <v>343</v>
      </c>
      <c r="D1" s="2" t="s">
        <v>572</v>
      </c>
      <c r="E1" s="2" t="s">
        <v>342</v>
      </c>
      <c r="F1" s="2" t="s">
        <v>341</v>
      </c>
      <c r="G1" s="2" t="s">
        <v>340</v>
      </c>
      <c r="H1" s="2" t="s">
        <v>339</v>
      </c>
      <c r="I1" s="2" t="s">
        <v>573</v>
      </c>
      <c r="J1" s="2" t="s">
        <v>338</v>
      </c>
    </row>
    <row r="2" spans="1:11" x14ac:dyDescent="0.35">
      <c r="A2" s="1">
        <v>1</v>
      </c>
      <c r="B2" s="1">
        <v>4.5720000000000001</v>
      </c>
      <c r="C2" s="1">
        <v>3.4289999999999998</v>
      </c>
      <c r="D2" s="1">
        <f>2*C2</f>
        <v>6.8579999999999997</v>
      </c>
      <c r="E2" s="1">
        <v>3.55</v>
      </c>
      <c r="F2" s="1">
        <v>6.9</v>
      </c>
      <c r="G2" s="1">
        <v>3.14</v>
      </c>
      <c r="H2" s="1">
        <v>274.32</v>
      </c>
      <c r="I2" s="1">
        <v>6.4233999999999999E-2</v>
      </c>
      <c r="J2" s="1">
        <v>282</v>
      </c>
    </row>
    <row r="3" spans="1:11" x14ac:dyDescent="0.35">
      <c r="A3" s="1">
        <v>3</v>
      </c>
      <c r="B3" s="1">
        <v>3.048</v>
      </c>
      <c r="C3" s="1">
        <v>2.286</v>
      </c>
      <c r="D3" s="1">
        <f t="shared" ref="D3:D37" si="0">2*C3</f>
        <v>4.5720000000000001</v>
      </c>
      <c r="E3" s="1">
        <v>0.45</v>
      </c>
      <c r="F3" s="1">
        <v>0.8</v>
      </c>
      <c r="G3" s="1">
        <v>3.14</v>
      </c>
      <c r="H3" s="1">
        <v>914.4</v>
      </c>
      <c r="I3" s="1">
        <v>7.868E-3</v>
      </c>
      <c r="J3" s="1">
        <v>916</v>
      </c>
    </row>
    <row r="4" spans="1:11" x14ac:dyDescent="0.35">
      <c r="A4" s="1">
        <v>5</v>
      </c>
      <c r="B4" s="1">
        <v>1.524</v>
      </c>
      <c r="C4" s="1">
        <v>1.143</v>
      </c>
      <c r="D4" s="1">
        <f t="shared" si="0"/>
        <v>2.286</v>
      </c>
      <c r="E4" s="1">
        <v>5.26</v>
      </c>
      <c r="F4" s="1">
        <v>10.9</v>
      </c>
      <c r="G4" s="1">
        <v>3.14</v>
      </c>
      <c r="H4" s="1">
        <v>259.08</v>
      </c>
      <c r="I4" s="1">
        <v>6.4850000000000003E-3</v>
      </c>
      <c r="J4" s="1">
        <v>255</v>
      </c>
    </row>
    <row r="5" spans="1:11" x14ac:dyDescent="0.35">
      <c r="A5" s="1">
        <v>8</v>
      </c>
      <c r="B5" s="1">
        <v>1.524</v>
      </c>
      <c r="C5" s="1">
        <v>1.143</v>
      </c>
      <c r="D5" s="1">
        <f t="shared" si="0"/>
        <v>2.286</v>
      </c>
      <c r="E5" s="1">
        <v>29.64</v>
      </c>
      <c r="F5" s="1">
        <v>2.4</v>
      </c>
      <c r="G5" s="1">
        <v>3.14</v>
      </c>
      <c r="H5" s="1">
        <v>76.2</v>
      </c>
      <c r="I5" s="1">
        <v>5.8157E-2</v>
      </c>
      <c r="J5" s="1">
        <v>77</v>
      </c>
    </row>
    <row r="6" spans="1:11" x14ac:dyDescent="0.35">
      <c r="A6" s="1">
        <v>9</v>
      </c>
      <c r="B6" s="1">
        <v>3.81</v>
      </c>
      <c r="C6" s="1">
        <v>2.8570000000000002</v>
      </c>
      <c r="D6" s="1">
        <f t="shared" si="0"/>
        <v>5.7140000000000004</v>
      </c>
      <c r="E6" s="1">
        <v>0.68</v>
      </c>
      <c r="F6" s="1">
        <v>2.1</v>
      </c>
      <c r="G6" s="1">
        <v>3.14</v>
      </c>
      <c r="H6" s="1">
        <v>106.68</v>
      </c>
      <c r="I6" s="1">
        <v>6.6342999999999999E-2</v>
      </c>
      <c r="J6" s="1">
        <v>114</v>
      </c>
    </row>
    <row r="7" spans="1:11" x14ac:dyDescent="0.35">
      <c r="A7" s="1">
        <v>11</v>
      </c>
      <c r="B7" s="1">
        <v>3.2004000000000001</v>
      </c>
      <c r="C7" s="1">
        <v>2.4</v>
      </c>
      <c r="D7" s="1">
        <f t="shared" si="0"/>
        <v>4.8</v>
      </c>
      <c r="E7" s="1">
        <v>1.806</v>
      </c>
      <c r="F7" s="1">
        <v>5</v>
      </c>
      <c r="G7" s="1">
        <v>3.14</v>
      </c>
      <c r="H7" s="1">
        <v>182.88</v>
      </c>
      <c r="I7" s="1">
        <v>2.7441E-2</v>
      </c>
      <c r="J7" s="1">
        <v>192</v>
      </c>
    </row>
    <row r="8" spans="1:11" x14ac:dyDescent="0.35">
      <c r="A8" s="1">
        <v>12</v>
      </c>
      <c r="B8" s="1">
        <v>1.524</v>
      </c>
      <c r="C8" s="1">
        <v>1.143</v>
      </c>
      <c r="D8" s="1">
        <f t="shared" si="0"/>
        <v>2.286</v>
      </c>
      <c r="E8" s="1">
        <v>0.123</v>
      </c>
      <c r="F8" s="1">
        <v>6.5</v>
      </c>
      <c r="G8" s="1">
        <v>3.14</v>
      </c>
      <c r="H8" s="1">
        <v>42.671999999999997</v>
      </c>
      <c r="I8" s="4">
        <v>2.0999999999999999E-3</v>
      </c>
      <c r="J8" s="1">
        <v>49</v>
      </c>
    </row>
    <row r="9" spans="1:11" x14ac:dyDescent="0.35">
      <c r="A9" s="1">
        <v>14</v>
      </c>
      <c r="B9" s="1">
        <v>3.81</v>
      </c>
      <c r="C9" s="1">
        <v>2.8570000000000002</v>
      </c>
      <c r="D9" s="1">
        <f t="shared" si="0"/>
        <v>5.7140000000000004</v>
      </c>
      <c r="E9" s="1">
        <v>8.18</v>
      </c>
      <c r="F9" s="1">
        <v>8.6</v>
      </c>
      <c r="G9" s="1">
        <v>3.14</v>
      </c>
      <c r="H9" s="1">
        <v>219.45599999999999</v>
      </c>
      <c r="I9" s="4">
        <v>0.22195300000000001</v>
      </c>
      <c r="J9" s="1">
        <v>219</v>
      </c>
      <c r="K9" t="s">
        <v>346</v>
      </c>
    </row>
    <row r="10" spans="1:11" x14ac:dyDescent="0.35">
      <c r="A10" s="1">
        <v>15</v>
      </c>
      <c r="B10" s="1">
        <v>1.524</v>
      </c>
      <c r="C10" s="1">
        <v>1.143</v>
      </c>
      <c r="D10" s="1">
        <f t="shared" si="0"/>
        <v>2.286</v>
      </c>
      <c r="E10" s="1">
        <v>13.8</v>
      </c>
      <c r="F10" s="1">
        <v>9</v>
      </c>
      <c r="G10" s="1">
        <v>3.14</v>
      </c>
      <c r="H10" s="1">
        <v>96.012</v>
      </c>
      <c r="I10" s="1">
        <v>0.50105</v>
      </c>
      <c r="J10" s="1">
        <v>103</v>
      </c>
      <c r="K10" t="s">
        <v>346</v>
      </c>
    </row>
    <row r="11" spans="1:11" x14ac:dyDescent="0.35">
      <c r="A11" s="1">
        <v>17</v>
      </c>
      <c r="B11" s="1">
        <v>2.286</v>
      </c>
      <c r="C11" s="1">
        <v>1.7150000000000001</v>
      </c>
      <c r="D11" s="1">
        <f t="shared" si="0"/>
        <v>3.43</v>
      </c>
      <c r="E11" s="1">
        <v>84.9</v>
      </c>
      <c r="F11" s="1">
        <v>8.1999999999999993</v>
      </c>
      <c r="G11" s="1">
        <v>3.14</v>
      </c>
      <c r="H11" s="1">
        <v>128.01599999999999</v>
      </c>
      <c r="I11" s="1">
        <v>3.2752999999999997E-2</v>
      </c>
      <c r="J11" s="1">
        <v>132</v>
      </c>
    </row>
    <row r="12" spans="1:11" x14ac:dyDescent="0.35">
      <c r="A12" s="1">
        <v>18</v>
      </c>
      <c r="B12" s="1">
        <v>3.81</v>
      </c>
      <c r="C12" s="1">
        <v>2.8570000000000002</v>
      </c>
      <c r="D12" s="1">
        <f t="shared" si="0"/>
        <v>5.7140000000000004</v>
      </c>
      <c r="E12" s="1">
        <v>22.9</v>
      </c>
      <c r="F12" s="1">
        <v>8.3000000000000007</v>
      </c>
      <c r="G12" s="1">
        <v>3.14</v>
      </c>
      <c r="H12" s="1">
        <v>914.4</v>
      </c>
      <c r="I12" s="1">
        <v>0.50205</v>
      </c>
      <c r="J12" s="1">
        <v>856</v>
      </c>
      <c r="K12" t="s">
        <v>346</v>
      </c>
    </row>
    <row r="13" spans="1:11" x14ac:dyDescent="0.35">
      <c r="A13" s="1">
        <v>19</v>
      </c>
      <c r="B13" s="1">
        <v>4.5720000000000001</v>
      </c>
      <c r="C13" s="1">
        <v>3.4289999999999998</v>
      </c>
      <c r="D13" s="1">
        <f t="shared" si="0"/>
        <v>6.8579999999999997</v>
      </c>
      <c r="E13" s="1">
        <v>49.3</v>
      </c>
      <c r="F13" s="1">
        <v>7.5</v>
      </c>
      <c r="G13" s="1">
        <v>3.14</v>
      </c>
      <c r="H13" s="1">
        <v>192.024</v>
      </c>
      <c r="I13" s="1">
        <v>1.7371999999999999E-2</v>
      </c>
      <c r="J13" s="1">
        <v>192</v>
      </c>
    </row>
    <row r="14" spans="1:11" x14ac:dyDescent="0.35">
      <c r="A14" s="1">
        <v>20</v>
      </c>
      <c r="B14" s="1">
        <v>1.524</v>
      </c>
      <c r="C14" s="1">
        <v>1.143</v>
      </c>
      <c r="D14" s="1">
        <f t="shared" si="0"/>
        <v>2.286</v>
      </c>
      <c r="E14" s="1">
        <v>90.21</v>
      </c>
      <c r="F14" s="1">
        <v>6.8</v>
      </c>
      <c r="G14" s="1">
        <v>3.14</v>
      </c>
      <c r="H14" s="1">
        <v>60.96</v>
      </c>
      <c r="I14" s="1">
        <v>7.6841999999999994E-2</v>
      </c>
      <c r="J14" s="1">
        <v>53</v>
      </c>
    </row>
    <row r="15" spans="1:11" x14ac:dyDescent="0.35">
      <c r="A15" s="1">
        <v>21</v>
      </c>
      <c r="B15" s="1">
        <v>2.286</v>
      </c>
      <c r="C15" s="1">
        <v>1.7150000000000001</v>
      </c>
      <c r="D15" s="1">
        <f t="shared" si="0"/>
        <v>3.43</v>
      </c>
      <c r="E15" s="1">
        <v>0.46899999999999997</v>
      </c>
      <c r="F15" s="1">
        <v>11.2</v>
      </c>
      <c r="G15" s="1">
        <v>3.14</v>
      </c>
      <c r="H15" s="1">
        <v>60.96</v>
      </c>
      <c r="I15" s="4">
        <v>5.9979999999999999E-3</v>
      </c>
      <c r="J15" s="1">
        <v>60</v>
      </c>
    </row>
    <row r="16" spans="1:11" x14ac:dyDescent="0.35">
      <c r="A16" s="1">
        <v>24</v>
      </c>
      <c r="B16" s="1">
        <v>3.048</v>
      </c>
      <c r="C16" s="1">
        <v>2.286</v>
      </c>
      <c r="D16" s="1">
        <f t="shared" si="0"/>
        <v>4.5720000000000001</v>
      </c>
      <c r="E16" s="1">
        <v>67</v>
      </c>
      <c r="F16" s="1">
        <v>3.7</v>
      </c>
      <c r="G16" s="1">
        <v>3.14</v>
      </c>
      <c r="H16" s="1">
        <v>207.26400000000001</v>
      </c>
      <c r="I16" s="1">
        <v>1.4723999999999999E-2</v>
      </c>
      <c r="J16" s="1">
        <v>204</v>
      </c>
    </row>
    <row r="17" spans="1:11" x14ac:dyDescent="0.35">
      <c r="A17" s="1">
        <v>26</v>
      </c>
      <c r="B17" s="1">
        <v>4.2671999999999999</v>
      </c>
      <c r="C17" s="1">
        <v>3.2</v>
      </c>
      <c r="D17" s="1">
        <f t="shared" si="0"/>
        <v>6.4</v>
      </c>
      <c r="E17" s="1">
        <v>25.4</v>
      </c>
      <c r="F17" s="1">
        <v>5.5</v>
      </c>
      <c r="G17" s="1">
        <v>3.14</v>
      </c>
      <c r="H17" s="1">
        <v>71.3232</v>
      </c>
      <c r="I17" s="1">
        <v>5.0220000000000001E-2</v>
      </c>
      <c r="J17" s="1">
        <v>79</v>
      </c>
    </row>
    <row r="18" spans="1:11" x14ac:dyDescent="0.35">
      <c r="A18" s="1">
        <v>27</v>
      </c>
      <c r="B18" s="1">
        <v>2.1335999999999999</v>
      </c>
      <c r="C18" s="1">
        <v>1.6</v>
      </c>
      <c r="D18" s="1">
        <f t="shared" si="0"/>
        <v>3.2</v>
      </c>
      <c r="E18" s="1">
        <v>1.504</v>
      </c>
      <c r="F18" s="1">
        <v>2.4</v>
      </c>
      <c r="G18" s="1">
        <v>3.14</v>
      </c>
      <c r="H18" s="1">
        <v>396.24</v>
      </c>
      <c r="I18" s="1">
        <v>1.1845E-2</v>
      </c>
      <c r="J18" s="1">
        <v>394</v>
      </c>
    </row>
    <row r="19" spans="1:11" x14ac:dyDescent="0.35">
      <c r="A19" s="1">
        <v>28</v>
      </c>
      <c r="B19" s="1">
        <v>1.0668</v>
      </c>
      <c r="C19" s="1">
        <v>0.8</v>
      </c>
      <c r="D19" s="1">
        <f t="shared" si="0"/>
        <v>1.6</v>
      </c>
      <c r="E19" s="1">
        <v>5.375</v>
      </c>
      <c r="F19" s="1">
        <v>5.5</v>
      </c>
      <c r="G19" s="1">
        <v>3.14</v>
      </c>
      <c r="H19" s="1">
        <v>457.2</v>
      </c>
      <c r="I19" s="1">
        <v>5.267E-3</v>
      </c>
      <c r="J19" s="1">
        <v>455</v>
      </c>
    </row>
    <row r="20" spans="1:11" x14ac:dyDescent="0.35">
      <c r="A20" s="1">
        <v>30</v>
      </c>
      <c r="B20" s="1">
        <v>1.5249999999999999</v>
      </c>
      <c r="C20" s="1">
        <v>1.1439999999999999</v>
      </c>
      <c r="D20" s="1">
        <f t="shared" si="0"/>
        <v>2.2879999999999998</v>
      </c>
      <c r="E20" s="1">
        <v>5.22</v>
      </c>
      <c r="F20" s="1">
        <v>5.7</v>
      </c>
      <c r="G20" s="1">
        <v>3.14</v>
      </c>
      <c r="H20" s="1">
        <v>152</v>
      </c>
      <c r="I20" s="1">
        <v>4.1079999999999998E-2</v>
      </c>
      <c r="J20" s="1">
        <v>157</v>
      </c>
    </row>
    <row r="21" spans="1:11" x14ac:dyDescent="0.35">
      <c r="A21" s="1">
        <v>31</v>
      </c>
      <c r="B21" s="1">
        <v>4.57</v>
      </c>
      <c r="C21" s="1">
        <v>3.4279999999999999</v>
      </c>
      <c r="D21" s="1">
        <f t="shared" si="0"/>
        <v>6.8559999999999999</v>
      </c>
      <c r="E21" s="1">
        <v>9.23</v>
      </c>
      <c r="F21" s="1">
        <v>2.8</v>
      </c>
      <c r="G21" s="1">
        <v>3.14</v>
      </c>
      <c r="H21" s="1">
        <v>366</v>
      </c>
      <c r="I21" s="1">
        <v>1.4708000000000001E-2</v>
      </c>
      <c r="J21" s="1">
        <v>363</v>
      </c>
    </row>
    <row r="22" spans="1:11" x14ac:dyDescent="0.35">
      <c r="A22" s="1">
        <v>32</v>
      </c>
      <c r="B22" s="1">
        <v>3.05</v>
      </c>
      <c r="C22" s="1">
        <v>2.2869999999999999</v>
      </c>
      <c r="D22" s="1">
        <f t="shared" si="0"/>
        <v>4.5739999999999998</v>
      </c>
      <c r="E22" s="1">
        <v>2.84</v>
      </c>
      <c r="F22" s="1">
        <v>0.6</v>
      </c>
      <c r="G22" s="1">
        <v>3.14</v>
      </c>
      <c r="H22" s="1">
        <v>168</v>
      </c>
      <c r="I22" s="1">
        <v>3.3706E-2</v>
      </c>
      <c r="J22" s="1">
        <v>169</v>
      </c>
    </row>
    <row r="23" spans="1:11" x14ac:dyDescent="0.35">
      <c r="A23" s="1">
        <v>33</v>
      </c>
      <c r="B23" s="1">
        <v>0.30499999999999999</v>
      </c>
      <c r="C23" s="1">
        <v>0.22900000000000001</v>
      </c>
      <c r="D23" s="1">
        <f t="shared" si="0"/>
        <v>0.45800000000000002</v>
      </c>
      <c r="E23" s="1">
        <v>5.48</v>
      </c>
      <c r="F23" s="1">
        <v>7.4</v>
      </c>
      <c r="G23" s="1">
        <v>3.14</v>
      </c>
      <c r="H23" s="1">
        <v>107</v>
      </c>
      <c r="I23" s="1">
        <v>1.565E-3</v>
      </c>
      <c r="J23" s="1">
        <v>105</v>
      </c>
    </row>
    <row r="24" spans="1:11" x14ac:dyDescent="0.35">
      <c r="A24" s="1">
        <v>34</v>
      </c>
      <c r="B24" s="1">
        <v>1.5249999999999999</v>
      </c>
      <c r="C24" s="1">
        <v>1.1439999999999999</v>
      </c>
      <c r="D24" s="1">
        <f t="shared" si="0"/>
        <v>2.2879999999999998</v>
      </c>
      <c r="E24" s="1">
        <v>48.65</v>
      </c>
      <c r="F24" s="1">
        <v>0.42</v>
      </c>
      <c r="G24" s="1">
        <v>3.14</v>
      </c>
      <c r="H24" s="1">
        <v>85</v>
      </c>
      <c r="I24" s="1">
        <v>2.5222000000000001E-2</v>
      </c>
      <c r="J24" s="1">
        <v>85</v>
      </c>
    </row>
    <row r="25" spans="1:11" x14ac:dyDescent="0.35">
      <c r="A25" s="1">
        <v>35</v>
      </c>
      <c r="B25" s="1">
        <v>5.335</v>
      </c>
      <c r="C25" s="1">
        <v>4.0010000000000003</v>
      </c>
      <c r="D25" s="1">
        <f t="shared" si="0"/>
        <v>8.0020000000000007</v>
      </c>
      <c r="E25" s="1">
        <v>18.27</v>
      </c>
      <c r="F25" s="1">
        <v>1.9</v>
      </c>
      <c r="G25" s="1">
        <v>3.14</v>
      </c>
      <c r="H25" s="1">
        <v>229</v>
      </c>
      <c r="I25" s="4">
        <v>1.0099E-2</v>
      </c>
      <c r="J25" s="1">
        <v>230</v>
      </c>
    </row>
    <row r="26" spans="1:11" x14ac:dyDescent="0.35">
      <c r="A26" s="1">
        <v>38</v>
      </c>
      <c r="B26" s="1">
        <v>1.22</v>
      </c>
      <c r="C26" s="1">
        <v>0.91500000000000004</v>
      </c>
      <c r="D26" s="1">
        <f t="shared" si="0"/>
        <v>1.83</v>
      </c>
      <c r="E26" s="1">
        <v>0.96</v>
      </c>
      <c r="F26" s="1">
        <v>3.9</v>
      </c>
      <c r="G26" s="1">
        <v>3.14</v>
      </c>
      <c r="H26" s="1">
        <v>30</v>
      </c>
      <c r="I26" s="1">
        <v>3.3284000000000001E-2</v>
      </c>
      <c r="J26" s="1">
        <v>23</v>
      </c>
    </row>
    <row r="27" spans="1:11" x14ac:dyDescent="0.35">
      <c r="A27" s="1">
        <v>41</v>
      </c>
      <c r="B27" s="1">
        <v>4.57</v>
      </c>
      <c r="C27" s="1">
        <v>3.4279999999999999</v>
      </c>
      <c r="D27" s="1">
        <f t="shared" si="0"/>
        <v>6.8559999999999999</v>
      </c>
      <c r="E27" s="1">
        <v>15.6</v>
      </c>
      <c r="F27" s="1">
        <v>10.43</v>
      </c>
      <c r="G27" s="1">
        <v>3.14</v>
      </c>
      <c r="H27" s="1">
        <v>549</v>
      </c>
      <c r="I27" s="1">
        <v>0.25757400000000003</v>
      </c>
      <c r="J27" s="1">
        <v>544</v>
      </c>
      <c r="K27" t="s">
        <v>346</v>
      </c>
    </row>
    <row r="28" spans="1:11" x14ac:dyDescent="0.35">
      <c r="A28" s="1">
        <v>42</v>
      </c>
      <c r="B28" s="1">
        <v>3.05</v>
      </c>
      <c r="C28" s="1">
        <v>2.2869999999999999</v>
      </c>
      <c r="D28" s="1">
        <f t="shared" si="0"/>
        <v>4.5739999999999998</v>
      </c>
      <c r="E28" s="1">
        <v>9.23</v>
      </c>
      <c r="F28" s="1">
        <v>7.7</v>
      </c>
      <c r="G28" s="1">
        <v>3.14</v>
      </c>
      <c r="H28" s="1">
        <v>152</v>
      </c>
      <c r="I28" s="1">
        <v>0.50205</v>
      </c>
      <c r="J28" s="1">
        <v>153</v>
      </c>
      <c r="K28" t="s">
        <v>346</v>
      </c>
    </row>
    <row r="29" spans="1:11" x14ac:dyDescent="0.35">
      <c r="A29" s="1">
        <v>43</v>
      </c>
      <c r="B29" s="1">
        <v>1.83</v>
      </c>
      <c r="C29" s="1">
        <v>1.373</v>
      </c>
      <c r="D29" s="1">
        <f t="shared" si="0"/>
        <v>2.746</v>
      </c>
      <c r="E29" s="1">
        <v>3.13</v>
      </c>
      <c r="F29" s="1">
        <v>8</v>
      </c>
      <c r="G29" s="1">
        <v>3.14</v>
      </c>
      <c r="H29" s="1">
        <v>96</v>
      </c>
      <c r="I29" s="1">
        <v>2.5488E-2</v>
      </c>
      <c r="J29" s="1">
        <v>89</v>
      </c>
    </row>
    <row r="30" spans="1:11" x14ac:dyDescent="0.35">
      <c r="A30" s="1">
        <v>44</v>
      </c>
      <c r="B30" s="1">
        <v>6</v>
      </c>
      <c r="C30" s="1">
        <v>4.5</v>
      </c>
      <c r="D30" s="1">
        <f t="shared" si="0"/>
        <v>9</v>
      </c>
      <c r="E30" s="1">
        <v>7.0000000000000007E-2</v>
      </c>
      <c r="F30" s="1">
        <v>1</v>
      </c>
      <c r="G30" s="1">
        <v>3.14</v>
      </c>
      <c r="H30" s="1">
        <v>140</v>
      </c>
      <c r="I30" s="1">
        <v>2.5565999999999998E-2</v>
      </c>
      <c r="J30" s="1">
        <v>145</v>
      </c>
    </row>
    <row r="31" spans="1:11" x14ac:dyDescent="0.35">
      <c r="A31" s="1">
        <v>45</v>
      </c>
      <c r="B31" s="1">
        <v>6</v>
      </c>
      <c r="C31" s="1">
        <v>4.5</v>
      </c>
      <c r="D31" s="1">
        <f t="shared" si="0"/>
        <v>9</v>
      </c>
      <c r="E31" s="1">
        <v>0.04</v>
      </c>
      <c r="F31" s="1">
        <v>1</v>
      </c>
      <c r="G31" s="1">
        <v>3.14</v>
      </c>
      <c r="H31" s="1">
        <v>90</v>
      </c>
      <c r="I31" s="1">
        <v>2.9433000000000001E-2</v>
      </c>
      <c r="J31" s="1">
        <v>88</v>
      </c>
    </row>
    <row r="32" spans="1:11" x14ac:dyDescent="0.35">
      <c r="A32" s="1">
        <v>49</v>
      </c>
      <c r="B32" s="1">
        <v>6</v>
      </c>
      <c r="C32" s="1">
        <v>4.5</v>
      </c>
      <c r="D32" s="1">
        <f t="shared" si="0"/>
        <v>9</v>
      </c>
      <c r="E32" s="1">
        <v>0.7</v>
      </c>
      <c r="F32" s="1">
        <v>2</v>
      </c>
      <c r="G32" s="1">
        <v>3.14</v>
      </c>
      <c r="H32" s="1">
        <v>90</v>
      </c>
      <c r="I32" s="1">
        <v>0.31944299999999998</v>
      </c>
      <c r="J32" s="1">
        <v>88</v>
      </c>
      <c r="K32" t="s">
        <v>346</v>
      </c>
    </row>
    <row r="33" spans="1:11" x14ac:dyDescent="0.35">
      <c r="A33" s="1">
        <v>52</v>
      </c>
      <c r="B33" s="1">
        <v>7.5</v>
      </c>
      <c r="C33" s="1">
        <v>5.625</v>
      </c>
      <c r="D33" s="1">
        <f t="shared" si="0"/>
        <v>11.25</v>
      </c>
      <c r="E33" s="1">
        <v>0.31</v>
      </c>
      <c r="F33" s="1">
        <v>1</v>
      </c>
      <c r="G33" s="1">
        <v>3.14</v>
      </c>
      <c r="H33" s="1">
        <v>160</v>
      </c>
      <c r="I33" s="1">
        <v>0.16983300000000001</v>
      </c>
      <c r="J33" s="1">
        <v>165</v>
      </c>
      <c r="K33" t="s">
        <v>346</v>
      </c>
    </row>
    <row r="34" spans="1:11" x14ac:dyDescent="0.35">
      <c r="A34" s="1">
        <v>54</v>
      </c>
      <c r="B34" s="1">
        <v>5.5</v>
      </c>
      <c r="C34" s="1">
        <v>4.125</v>
      </c>
      <c r="D34" s="1">
        <f t="shared" si="0"/>
        <v>8.25</v>
      </c>
      <c r="E34" s="1">
        <v>33</v>
      </c>
      <c r="F34" s="1">
        <v>7.5</v>
      </c>
      <c r="G34" s="1">
        <v>3.14</v>
      </c>
      <c r="H34" s="1">
        <v>250</v>
      </c>
      <c r="I34" s="1">
        <v>1.3216E-2</v>
      </c>
      <c r="J34" s="1">
        <v>255</v>
      </c>
    </row>
    <row r="35" spans="1:11" x14ac:dyDescent="0.35">
      <c r="A35" s="1">
        <v>55</v>
      </c>
      <c r="B35" s="1">
        <v>3.7</v>
      </c>
      <c r="C35" s="1">
        <v>2.7749999999999999</v>
      </c>
      <c r="D35" s="1">
        <f t="shared" si="0"/>
        <v>5.55</v>
      </c>
      <c r="E35" s="1">
        <v>123</v>
      </c>
      <c r="F35" s="1">
        <v>1.6</v>
      </c>
      <c r="G35" s="1">
        <v>3.14</v>
      </c>
      <c r="H35" s="1">
        <v>200</v>
      </c>
      <c r="I35" s="4">
        <v>8.5990000000000007E-3</v>
      </c>
      <c r="J35" s="1">
        <v>197</v>
      </c>
    </row>
    <row r="36" spans="1:11" x14ac:dyDescent="0.35">
      <c r="A36" s="1">
        <v>57</v>
      </c>
      <c r="B36" s="1">
        <v>5</v>
      </c>
      <c r="C36" s="1">
        <v>3.75</v>
      </c>
      <c r="D36" s="1">
        <f t="shared" si="0"/>
        <v>7.5</v>
      </c>
      <c r="E36" s="1">
        <v>0.01</v>
      </c>
      <c r="F36" s="1">
        <v>4</v>
      </c>
      <c r="G36" s="1">
        <v>3.14</v>
      </c>
      <c r="H36" s="1">
        <v>100</v>
      </c>
      <c r="I36" s="4">
        <v>1.2999E-2</v>
      </c>
      <c r="J36" s="1">
        <v>98</v>
      </c>
    </row>
    <row r="37" spans="1:11" x14ac:dyDescent="0.35">
      <c r="A37" s="1">
        <v>61</v>
      </c>
      <c r="B37" s="1">
        <v>1.5</v>
      </c>
      <c r="C37" s="1">
        <v>1.125</v>
      </c>
      <c r="D37" s="1">
        <f t="shared" si="0"/>
        <v>2.25</v>
      </c>
      <c r="E37" s="1">
        <v>8.9</v>
      </c>
      <c r="F37" s="1">
        <v>0.99</v>
      </c>
      <c r="G37" s="1">
        <v>3.14</v>
      </c>
      <c r="H37" s="1">
        <v>250</v>
      </c>
      <c r="I37" s="1">
        <v>2.4355000000000002E-2</v>
      </c>
      <c r="J37" s="1">
        <v>254</v>
      </c>
    </row>
    <row r="41" spans="1:11" x14ac:dyDescent="0.35">
      <c r="A41" t="s">
        <v>1</v>
      </c>
    </row>
    <row r="42" spans="1:11" x14ac:dyDescent="0.35">
      <c r="A42" t="s">
        <v>221</v>
      </c>
    </row>
    <row r="43" spans="1:11" x14ac:dyDescent="0.35">
      <c r="A43" t="s">
        <v>222</v>
      </c>
    </row>
    <row r="44" spans="1:11" x14ac:dyDescent="0.35">
      <c r="A44" t="s">
        <v>223</v>
      </c>
    </row>
    <row r="45" spans="1:11" x14ac:dyDescent="0.35">
      <c r="A45" t="s">
        <v>224</v>
      </c>
    </row>
    <row r="46" spans="1:11" x14ac:dyDescent="0.35">
      <c r="A46" t="s">
        <v>225</v>
      </c>
    </row>
    <row r="47" spans="1:11" x14ac:dyDescent="0.35">
      <c r="A47" t="s">
        <v>226</v>
      </c>
    </row>
    <row r="48" spans="1:11" x14ac:dyDescent="0.35">
      <c r="A48" t="s">
        <v>227</v>
      </c>
    </row>
    <row r="49" spans="1:1" x14ac:dyDescent="0.35">
      <c r="A49" t="s">
        <v>228</v>
      </c>
    </row>
    <row r="50" spans="1:1" x14ac:dyDescent="0.35">
      <c r="A50" t="s">
        <v>229</v>
      </c>
    </row>
    <row r="51" spans="1:1" x14ac:dyDescent="0.35">
      <c r="A51" t="s">
        <v>230</v>
      </c>
    </row>
    <row r="52" spans="1:1" x14ac:dyDescent="0.35">
      <c r="A52" t="s">
        <v>231</v>
      </c>
    </row>
    <row r="53" spans="1:1" x14ac:dyDescent="0.35">
      <c r="A53" t="s">
        <v>232</v>
      </c>
    </row>
    <row r="54" spans="1:1" x14ac:dyDescent="0.35">
      <c r="A54" t="s">
        <v>233</v>
      </c>
    </row>
    <row r="55" spans="1:1" x14ac:dyDescent="0.35">
      <c r="A55" t="s">
        <v>234</v>
      </c>
    </row>
    <row r="56" spans="1:1" x14ac:dyDescent="0.35">
      <c r="A56" t="s">
        <v>235</v>
      </c>
    </row>
    <row r="57" spans="1:1" x14ac:dyDescent="0.35">
      <c r="A57" t="s">
        <v>236</v>
      </c>
    </row>
    <row r="58" spans="1:1" x14ac:dyDescent="0.35">
      <c r="A58" t="s">
        <v>237</v>
      </c>
    </row>
    <row r="59" spans="1:1" x14ac:dyDescent="0.35">
      <c r="A59" t="s">
        <v>238</v>
      </c>
    </row>
    <row r="60" spans="1:1" x14ac:dyDescent="0.35">
      <c r="A60" t="s">
        <v>239</v>
      </c>
    </row>
    <row r="61" spans="1:1" x14ac:dyDescent="0.35">
      <c r="A61" t="s">
        <v>240</v>
      </c>
    </row>
    <row r="62" spans="1:1" x14ac:dyDescent="0.35">
      <c r="A62" t="s">
        <v>241</v>
      </c>
    </row>
    <row r="63" spans="1:1" x14ac:dyDescent="0.35">
      <c r="A63" t="s">
        <v>242</v>
      </c>
    </row>
    <row r="64" spans="1:1" x14ac:dyDescent="0.35">
      <c r="A64" t="s">
        <v>243</v>
      </c>
    </row>
    <row r="65" spans="1:1" x14ac:dyDescent="0.35">
      <c r="A65" t="s">
        <v>244</v>
      </c>
    </row>
    <row r="66" spans="1:1" x14ac:dyDescent="0.35">
      <c r="A66" t="s">
        <v>245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E9A80-7154-43AA-BC3D-A85AF42D540C}">
  <dimension ref="A1:K66"/>
  <sheetViews>
    <sheetView workbookViewId="0">
      <selection sqref="A1:XFD1"/>
    </sheetView>
  </sheetViews>
  <sheetFormatPr defaultRowHeight="14.5" x14ac:dyDescent="0.35"/>
  <cols>
    <col min="4" max="4" width="19.26953125" customWidth="1"/>
    <col min="9" max="9" width="11.81640625" customWidth="1"/>
  </cols>
  <sheetData>
    <row r="1" spans="1:11" x14ac:dyDescent="0.35">
      <c r="A1" s="2" t="s">
        <v>345</v>
      </c>
      <c r="B1" s="2" t="s">
        <v>344</v>
      </c>
      <c r="C1" s="2" t="s">
        <v>343</v>
      </c>
      <c r="D1" s="2" t="s">
        <v>572</v>
      </c>
      <c r="E1" s="2" t="s">
        <v>342</v>
      </c>
      <c r="F1" s="2" t="s">
        <v>341</v>
      </c>
      <c r="G1" s="2" t="s">
        <v>340</v>
      </c>
      <c r="H1" s="2" t="s">
        <v>339</v>
      </c>
      <c r="I1" s="2" t="s">
        <v>573</v>
      </c>
      <c r="J1" s="2" t="s">
        <v>338</v>
      </c>
    </row>
    <row r="2" spans="1:11" x14ac:dyDescent="0.35">
      <c r="A2" s="1">
        <v>1</v>
      </c>
      <c r="B2" s="1">
        <v>4.5720000000000001</v>
      </c>
      <c r="C2" s="1">
        <v>4.5720000000000001</v>
      </c>
      <c r="D2" s="1">
        <f>2*C2</f>
        <v>9.1440000000000001</v>
      </c>
      <c r="E2" s="1">
        <v>3.55</v>
      </c>
      <c r="F2" s="1">
        <v>6.9</v>
      </c>
      <c r="G2" s="1">
        <v>3.14</v>
      </c>
      <c r="H2" s="1">
        <v>274.32</v>
      </c>
      <c r="I2" s="1">
        <v>0.12610299999999999</v>
      </c>
      <c r="J2" s="1">
        <v>274</v>
      </c>
      <c r="K2" t="s">
        <v>346</v>
      </c>
    </row>
    <row r="3" spans="1:11" x14ac:dyDescent="0.35">
      <c r="A3" s="1">
        <v>3</v>
      </c>
      <c r="B3" s="1">
        <v>3.048</v>
      </c>
      <c r="C3" s="1">
        <v>3.048</v>
      </c>
      <c r="D3" s="1">
        <f t="shared" ref="D3:D32" si="0">2*C3</f>
        <v>6.0960000000000001</v>
      </c>
      <c r="E3" s="1">
        <v>0.45</v>
      </c>
      <c r="F3" s="1">
        <v>0.8</v>
      </c>
      <c r="G3" s="1">
        <v>3.14</v>
      </c>
      <c r="H3" s="1">
        <v>914.4</v>
      </c>
      <c r="I3" s="1">
        <v>1.4311000000000001E-2</v>
      </c>
      <c r="J3" s="1">
        <v>911</v>
      </c>
    </row>
    <row r="4" spans="1:11" x14ac:dyDescent="0.35">
      <c r="A4" s="1">
        <v>5</v>
      </c>
      <c r="B4" s="1">
        <v>1.524</v>
      </c>
      <c r="C4" s="1">
        <v>1.524</v>
      </c>
      <c r="D4" s="1">
        <f t="shared" si="0"/>
        <v>3.048</v>
      </c>
      <c r="E4" s="1">
        <v>5.26</v>
      </c>
      <c r="F4" s="1">
        <v>10.9</v>
      </c>
      <c r="G4" s="1">
        <v>3.14</v>
      </c>
      <c r="H4" s="1">
        <v>259.08</v>
      </c>
      <c r="I4" s="1">
        <v>1.1845E-2</v>
      </c>
      <c r="J4" s="1">
        <v>253</v>
      </c>
    </row>
    <row r="5" spans="1:11" x14ac:dyDescent="0.35">
      <c r="A5" s="1">
        <v>8</v>
      </c>
      <c r="B5" s="1">
        <v>1.524</v>
      </c>
      <c r="C5" s="1">
        <v>1.524</v>
      </c>
      <c r="D5" s="1">
        <f t="shared" si="0"/>
        <v>3.048</v>
      </c>
      <c r="E5" s="1">
        <v>29.64</v>
      </c>
      <c r="F5" s="1">
        <v>2.4</v>
      </c>
      <c r="G5" s="1">
        <v>3.14</v>
      </c>
      <c r="H5" s="1">
        <v>76.2</v>
      </c>
      <c r="I5" s="1">
        <v>5.6593999999999998E-2</v>
      </c>
      <c r="J5" s="1">
        <v>69</v>
      </c>
    </row>
    <row r="6" spans="1:11" x14ac:dyDescent="0.35">
      <c r="A6" s="1">
        <v>9</v>
      </c>
      <c r="B6" s="1">
        <v>3.81</v>
      </c>
      <c r="C6" s="1">
        <v>3.81</v>
      </c>
      <c r="D6" s="1">
        <f t="shared" si="0"/>
        <v>7.62</v>
      </c>
      <c r="E6" s="1">
        <v>0.68</v>
      </c>
      <c r="F6" s="1">
        <v>2.1</v>
      </c>
      <c r="G6" s="1">
        <v>3.14</v>
      </c>
      <c r="H6" s="1">
        <v>106.68</v>
      </c>
      <c r="I6" s="1">
        <v>0.13383700000000001</v>
      </c>
      <c r="J6" s="1">
        <v>109</v>
      </c>
      <c r="K6" t="s">
        <v>346</v>
      </c>
    </row>
    <row r="7" spans="1:11" x14ac:dyDescent="0.35">
      <c r="A7" s="1">
        <v>11</v>
      </c>
      <c r="B7" s="1">
        <v>3.2004000000000001</v>
      </c>
      <c r="C7" s="1">
        <v>3.2</v>
      </c>
      <c r="D7" s="1">
        <f t="shared" si="0"/>
        <v>6.4</v>
      </c>
      <c r="E7" s="1">
        <v>1.806</v>
      </c>
      <c r="F7" s="1">
        <v>5</v>
      </c>
      <c r="G7" s="1">
        <v>3.14</v>
      </c>
      <c r="H7" s="1">
        <v>182.88</v>
      </c>
      <c r="I7" s="1">
        <v>5.6501000000000003E-2</v>
      </c>
      <c r="J7" s="1">
        <v>177</v>
      </c>
    </row>
    <row r="8" spans="1:11" x14ac:dyDescent="0.35">
      <c r="A8" s="1">
        <v>12</v>
      </c>
      <c r="B8" s="1">
        <v>1.524</v>
      </c>
      <c r="C8" s="1">
        <v>1.524</v>
      </c>
      <c r="D8" s="1">
        <f t="shared" si="0"/>
        <v>3.048</v>
      </c>
      <c r="E8" s="1">
        <v>0.123</v>
      </c>
      <c r="F8" s="1">
        <v>6.5</v>
      </c>
      <c r="G8" s="1">
        <v>3.14</v>
      </c>
      <c r="H8" s="1">
        <v>42.671999999999997</v>
      </c>
      <c r="I8" s="1">
        <v>4.0489999999999996E-3</v>
      </c>
      <c r="J8" s="1">
        <v>46</v>
      </c>
    </row>
    <row r="9" spans="1:11" x14ac:dyDescent="0.35">
      <c r="A9" s="1">
        <v>14</v>
      </c>
      <c r="B9" s="1">
        <v>3.81</v>
      </c>
      <c r="C9" s="1">
        <v>3.81</v>
      </c>
      <c r="D9" s="1">
        <f t="shared" si="0"/>
        <v>7.62</v>
      </c>
      <c r="E9" s="1">
        <v>8.18</v>
      </c>
      <c r="F9" s="1">
        <v>8.6</v>
      </c>
      <c r="G9" s="1">
        <v>3.14</v>
      </c>
      <c r="H9" s="1">
        <v>219.45599999999999</v>
      </c>
      <c r="I9" s="1">
        <v>0.44318099999999999</v>
      </c>
      <c r="J9" s="1">
        <v>224</v>
      </c>
      <c r="K9" t="s">
        <v>346</v>
      </c>
    </row>
    <row r="10" spans="1:11" x14ac:dyDescent="0.35">
      <c r="A10" s="1">
        <v>17</v>
      </c>
      <c r="B10" s="1">
        <v>2.286</v>
      </c>
      <c r="C10" s="1">
        <v>2.286</v>
      </c>
      <c r="D10" s="1">
        <f t="shared" si="0"/>
        <v>4.5720000000000001</v>
      </c>
      <c r="E10" s="1">
        <v>84.9</v>
      </c>
      <c r="F10" s="1">
        <v>8.1999999999999993</v>
      </c>
      <c r="G10" s="1">
        <v>3.14</v>
      </c>
      <c r="H10" s="1">
        <v>128.01599999999999</v>
      </c>
      <c r="I10" s="1">
        <v>2.7831999999999999E-2</v>
      </c>
      <c r="J10" s="1">
        <v>131</v>
      </c>
    </row>
    <row r="11" spans="1:11" x14ac:dyDescent="0.35">
      <c r="A11" s="1">
        <v>19</v>
      </c>
      <c r="B11" s="1">
        <v>4.5720000000000001</v>
      </c>
      <c r="C11" s="1">
        <v>4.5720000000000001</v>
      </c>
      <c r="D11" s="1">
        <f t="shared" si="0"/>
        <v>9.1440000000000001</v>
      </c>
      <c r="E11" s="1">
        <v>49.3</v>
      </c>
      <c r="F11" s="1">
        <v>7.5</v>
      </c>
      <c r="G11" s="1">
        <v>3.14</v>
      </c>
      <c r="H11" s="1">
        <v>192.024</v>
      </c>
      <c r="I11" s="1">
        <v>1.2177E-2</v>
      </c>
      <c r="J11" s="1">
        <v>183</v>
      </c>
    </row>
    <row r="12" spans="1:11" x14ac:dyDescent="0.35">
      <c r="A12" s="1">
        <v>20</v>
      </c>
      <c r="B12" s="1">
        <v>1.524</v>
      </c>
      <c r="C12" s="1">
        <v>1.524</v>
      </c>
      <c r="D12" s="1">
        <f t="shared" si="0"/>
        <v>3.048</v>
      </c>
      <c r="E12" s="1">
        <v>90.21</v>
      </c>
      <c r="F12" s="1">
        <v>6.8</v>
      </c>
      <c r="G12" s="1">
        <v>3.14</v>
      </c>
      <c r="H12" s="1">
        <v>60.96</v>
      </c>
      <c r="I12" s="1">
        <v>5.6593999999999998E-2</v>
      </c>
      <c r="J12" s="1">
        <v>66</v>
      </c>
    </row>
    <row r="13" spans="1:11" x14ac:dyDescent="0.35">
      <c r="A13" s="1">
        <v>21</v>
      </c>
      <c r="B13" s="1">
        <v>2.286</v>
      </c>
      <c r="C13" s="1">
        <v>2.286</v>
      </c>
      <c r="D13" s="1">
        <f t="shared" si="0"/>
        <v>4.5720000000000001</v>
      </c>
      <c r="E13" s="1">
        <v>0.46899999999999997</v>
      </c>
      <c r="F13" s="1">
        <v>11.2</v>
      </c>
      <c r="G13" s="1">
        <v>3.14</v>
      </c>
      <c r="H13" s="1">
        <v>60.96</v>
      </c>
      <c r="I13" s="1">
        <v>1.188E-2</v>
      </c>
      <c r="J13" s="1">
        <v>56</v>
      </c>
    </row>
    <row r="14" spans="1:11" x14ac:dyDescent="0.35">
      <c r="A14" s="1">
        <v>23</v>
      </c>
      <c r="B14" s="1">
        <v>11</v>
      </c>
      <c r="C14" s="1">
        <v>11</v>
      </c>
      <c r="D14" s="1">
        <f t="shared" si="0"/>
        <v>22</v>
      </c>
      <c r="E14" s="1">
        <v>4.2460000000000004</v>
      </c>
      <c r="F14" s="1">
        <v>7.9</v>
      </c>
      <c r="G14" s="1">
        <v>3.14</v>
      </c>
      <c r="H14" s="1">
        <v>420</v>
      </c>
      <c r="I14" s="4">
        <v>1</v>
      </c>
      <c r="J14" s="1">
        <v>419</v>
      </c>
      <c r="K14" t="s">
        <v>346</v>
      </c>
    </row>
    <row r="15" spans="1:11" x14ac:dyDescent="0.35">
      <c r="A15" s="1">
        <v>24</v>
      </c>
      <c r="B15" s="1">
        <v>3.048</v>
      </c>
      <c r="C15" s="1">
        <v>3.048</v>
      </c>
      <c r="D15" s="1">
        <f t="shared" si="0"/>
        <v>6.0960000000000001</v>
      </c>
      <c r="E15" s="1">
        <v>67</v>
      </c>
      <c r="F15" s="1">
        <v>3.7</v>
      </c>
      <c r="G15" s="1">
        <v>3.14</v>
      </c>
      <c r="H15" s="1">
        <v>207.26400000000001</v>
      </c>
      <c r="I15" s="1">
        <v>1.1974E-2</v>
      </c>
      <c r="J15" s="1">
        <v>202</v>
      </c>
    </row>
    <row r="16" spans="1:11" x14ac:dyDescent="0.35">
      <c r="A16" s="1">
        <v>25</v>
      </c>
      <c r="B16" s="1">
        <v>1.524</v>
      </c>
      <c r="C16" s="1">
        <v>1.524</v>
      </c>
      <c r="D16" s="1">
        <f t="shared" si="0"/>
        <v>3.048</v>
      </c>
      <c r="E16" s="1">
        <v>7.1900000000000006E-2</v>
      </c>
      <c r="F16" s="1">
        <v>8.4</v>
      </c>
      <c r="G16" s="1">
        <v>3.14</v>
      </c>
      <c r="H16" s="1">
        <v>67.055999999999997</v>
      </c>
      <c r="I16" s="3">
        <v>2.0999999999999999E-3</v>
      </c>
      <c r="J16" s="1">
        <v>74</v>
      </c>
    </row>
    <row r="17" spans="1:11" x14ac:dyDescent="0.35">
      <c r="A17" s="1">
        <v>26</v>
      </c>
      <c r="B17" s="1">
        <v>4.2671999999999999</v>
      </c>
      <c r="C17" s="1">
        <v>4.2670000000000003</v>
      </c>
      <c r="D17" s="1">
        <f t="shared" si="0"/>
        <v>8.5340000000000007</v>
      </c>
      <c r="E17" s="1">
        <v>25.4</v>
      </c>
      <c r="F17" s="1">
        <v>5.5</v>
      </c>
      <c r="G17" s="1">
        <v>3.14</v>
      </c>
      <c r="H17" s="1">
        <v>71.3232</v>
      </c>
      <c r="I17" s="1">
        <v>4.3346000000000003E-2</v>
      </c>
      <c r="J17" s="1">
        <v>62</v>
      </c>
    </row>
    <row r="18" spans="1:11" x14ac:dyDescent="0.35">
      <c r="A18" s="1">
        <v>27</v>
      </c>
      <c r="B18" s="1">
        <v>2.1335999999999999</v>
      </c>
      <c r="C18" s="1">
        <v>2.1339999999999999</v>
      </c>
      <c r="D18" s="1">
        <f t="shared" si="0"/>
        <v>4.2679999999999998</v>
      </c>
      <c r="E18" s="1">
        <v>1.504</v>
      </c>
      <c r="F18" s="1">
        <v>2.4</v>
      </c>
      <c r="G18" s="1">
        <v>3.14</v>
      </c>
      <c r="H18" s="1">
        <v>396.24</v>
      </c>
      <c r="I18" s="1">
        <v>2.1590000000000002E-2</v>
      </c>
      <c r="J18" s="1">
        <v>394</v>
      </c>
    </row>
    <row r="19" spans="1:11" x14ac:dyDescent="0.35">
      <c r="A19" s="1">
        <v>28</v>
      </c>
      <c r="B19" s="1">
        <v>1.0668</v>
      </c>
      <c r="C19" s="1">
        <v>1.0669999999999999</v>
      </c>
      <c r="D19" s="1">
        <f t="shared" si="0"/>
        <v>2.1339999999999999</v>
      </c>
      <c r="E19" s="1">
        <v>5.375</v>
      </c>
      <c r="F19" s="1">
        <v>5.5</v>
      </c>
      <c r="G19" s="1">
        <v>3.14</v>
      </c>
      <c r="H19" s="1">
        <v>457.2</v>
      </c>
      <c r="I19" s="1">
        <v>9.4090000000000007E-3</v>
      </c>
      <c r="J19" s="1">
        <v>461</v>
      </c>
    </row>
    <row r="20" spans="1:11" x14ac:dyDescent="0.35">
      <c r="A20" s="1">
        <v>30</v>
      </c>
      <c r="B20" s="1">
        <v>1.5249999999999999</v>
      </c>
      <c r="C20" s="1">
        <v>1.5249999999999999</v>
      </c>
      <c r="D20" s="1">
        <f t="shared" si="0"/>
        <v>3.05</v>
      </c>
      <c r="E20" s="1">
        <v>5.22</v>
      </c>
      <c r="F20" s="1">
        <v>5.7</v>
      </c>
      <c r="G20" s="1">
        <v>3.14</v>
      </c>
      <c r="H20" s="1">
        <v>152</v>
      </c>
      <c r="I20" s="1">
        <v>8.0060999999999993E-2</v>
      </c>
      <c r="J20" s="1">
        <v>155</v>
      </c>
    </row>
    <row r="21" spans="1:11" x14ac:dyDescent="0.35">
      <c r="A21" s="1">
        <v>32</v>
      </c>
      <c r="B21" s="1">
        <v>3.05</v>
      </c>
      <c r="C21" s="1">
        <v>3.05</v>
      </c>
      <c r="D21" s="1">
        <f t="shared" si="0"/>
        <v>6.1</v>
      </c>
      <c r="E21" s="1">
        <v>2.84</v>
      </c>
      <c r="F21" s="1">
        <v>0.6</v>
      </c>
      <c r="G21" s="1">
        <v>3.14</v>
      </c>
      <c r="H21" s="1">
        <v>168</v>
      </c>
      <c r="I21" s="1">
        <v>2.7379000000000001E-2</v>
      </c>
      <c r="J21" s="1">
        <v>163</v>
      </c>
    </row>
    <row r="22" spans="1:11" x14ac:dyDescent="0.35">
      <c r="A22" s="1">
        <v>33</v>
      </c>
      <c r="B22" s="1">
        <v>0.30499999999999999</v>
      </c>
      <c r="C22" s="1">
        <v>0.30499999999999999</v>
      </c>
      <c r="D22" s="1">
        <f t="shared" si="0"/>
        <v>0.61</v>
      </c>
      <c r="E22" s="1">
        <v>5.48</v>
      </c>
      <c r="F22" s="1">
        <v>7.4</v>
      </c>
      <c r="G22" s="1">
        <v>3.14</v>
      </c>
      <c r="H22" s="1">
        <v>107</v>
      </c>
      <c r="I22" s="1">
        <v>3.029E-3</v>
      </c>
      <c r="J22" s="1">
        <v>99</v>
      </c>
    </row>
    <row r="23" spans="1:11" x14ac:dyDescent="0.35">
      <c r="A23" s="1">
        <v>34</v>
      </c>
      <c r="B23" s="1">
        <v>1.5249999999999999</v>
      </c>
      <c r="C23" s="1">
        <v>1.5249999999999999</v>
      </c>
      <c r="D23" s="1">
        <f t="shared" si="0"/>
        <v>3.05</v>
      </c>
      <c r="E23" s="1">
        <v>48.65</v>
      </c>
      <c r="F23" s="1">
        <v>0.42</v>
      </c>
      <c r="G23" s="1">
        <v>3.14</v>
      </c>
      <c r="H23" s="1">
        <v>85</v>
      </c>
      <c r="I23" s="1">
        <v>2.5222000000000001E-2</v>
      </c>
      <c r="J23" s="1">
        <v>76</v>
      </c>
    </row>
    <row r="24" spans="1:11" x14ac:dyDescent="0.35">
      <c r="A24" s="1">
        <v>38</v>
      </c>
      <c r="B24" s="1">
        <v>1.22</v>
      </c>
      <c r="C24" s="1">
        <v>1.22</v>
      </c>
      <c r="D24" s="1">
        <f t="shared" si="0"/>
        <v>2.44</v>
      </c>
      <c r="E24" s="1">
        <v>0.96</v>
      </c>
      <c r="F24" s="1">
        <v>3.9</v>
      </c>
      <c r="G24" s="1">
        <v>3.14</v>
      </c>
      <c r="H24" s="1">
        <v>30</v>
      </c>
      <c r="I24" s="1">
        <v>6.4468999999999999E-2</v>
      </c>
      <c r="J24" s="1">
        <v>23</v>
      </c>
    </row>
    <row r="25" spans="1:11" x14ac:dyDescent="0.35">
      <c r="A25" s="1">
        <v>43</v>
      </c>
      <c r="B25" s="1">
        <v>1.83</v>
      </c>
      <c r="C25" s="1">
        <v>1.83</v>
      </c>
      <c r="D25" s="1">
        <f t="shared" si="0"/>
        <v>3.66</v>
      </c>
      <c r="E25" s="1">
        <v>3.13</v>
      </c>
      <c r="F25" s="1">
        <v>8</v>
      </c>
      <c r="G25" s="1">
        <v>3.14</v>
      </c>
      <c r="H25" s="1">
        <v>96</v>
      </c>
      <c r="I25" s="1">
        <v>4.8876000000000003E-2</v>
      </c>
      <c r="J25" s="1">
        <v>87</v>
      </c>
    </row>
    <row r="26" spans="1:11" x14ac:dyDescent="0.35">
      <c r="A26" s="1">
        <v>44</v>
      </c>
      <c r="B26" s="1">
        <v>6</v>
      </c>
      <c r="C26" s="1">
        <v>6</v>
      </c>
      <c r="D26" s="1">
        <f t="shared" si="0"/>
        <v>12</v>
      </c>
      <c r="E26" s="1">
        <v>7.0000000000000007E-2</v>
      </c>
      <c r="F26" s="1">
        <v>1</v>
      </c>
      <c r="G26" s="1">
        <v>3.14</v>
      </c>
      <c r="H26" s="1">
        <v>140</v>
      </c>
      <c r="I26" s="1">
        <v>5.0688999999999998E-2</v>
      </c>
      <c r="J26" s="1">
        <v>137</v>
      </c>
    </row>
    <row r="27" spans="1:11" x14ac:dyDescent="0.35">
      <c r="A27" s="1">
        <v>45</v>
      </c>
      <c r="B27" s="1">
        <v>6</v>
      </c>
      <c r="C27" s="1">
        <v>6</v>
      </c>
      <c r="D27" s="1">
        <f t="shared" si="0"/>
        <v>12</v>
      </c>
      <c r="E27" s="1">
        <v>0.04</v>
      </c>
      <c r="F27" s="1">
        <v>1</v>
      </c>
      <c r="G27" s="1">
        <v>3.14</v>
      </c>
      <c r="H27" s="1">
        <v>90</v>
      </c>
      <c r="I27" s="1">
        <v>5.4531999999999997E-2</v>
      </c>
      <c r="J27" s="1">
        <v>91</v>
      </c>
    </row>
    <row r="28" spans="1:11" x14ac:dyDescent="0.35">
      <c r="A28" s="1">
        <v>49</v>
      </c>
      <c r="B28" s="1">
        <v>6</v>
      </c>
      <c r="C28" s="1">
        <v>6</v>
      </c>
      <c r="D28" s="1">
        <f t="shared" si="0"/>
        <v>12</v>
      </c>
      <c r="E28" s="1">
        <v>0.7</v>
      </c>
      <c r="F28" s="1">
        <v>2</v>
      </c>
      <c r="G28" s="1">
        <v>3.14</v>
      </c>
      <c r="H28" s="1">
        <v>90</v>
      </c>
      <c r="I28" s="1">
        <v>0.75402499999999995</v>
      </c>
      <c r="J28" s="1">
        <v>82</v>
      </c>
      <c r="K28" t="s">
        <v>346</v>
      </c>
    </row>
    <row r="29" spans="1:11" x14ac:dyDescent="0.35">
      <c r="A29" s="1">
        <v>52</v>
      </c>
      <c r="B29" s="1">
        <v>7.5</v>
      </c>
      <c r="C29" s="1">
        <v>7.5</v>
      </c>
      <c r="D29" s="1">
        <f t="shared" si="0"/>
        <v>15</v>
      </c>
      <c r="E29" s="1">
        <v>0.31</v>
      </c>
      <c r="F29" s="1">
        <v>1</v>
      </c>
      <c r="G29" s="1">
        <v>3.14</v>
      </c>
      <c r="H29" s="1">
        <v>160</v>
      </c>
      <c r="I29" s="1">
        <v>4.0096E-2</v>
      </c>
      <c r="J29" s="1">
        <v>170</v>
      </c>
    </row>
    <row r="30" spans="1:11" x14ac:dyDescent="0.35">
      <c r="A30" s="1">
        <v>57</v>
      </c>
      <c r="B30" s="1">
        <v>5</v>
      </c>
      <c r="C30" s="1">
        <v>5</v>
      </c>
      <c r="D30" s="1">
        <f t="shared" si="0"/>
        <v>10</v>
      </c>
      <c r="E30" s="1">
        <v>0.01</v>
      </c>
      <c r="F30" s="1">
        <v>4</v>
      </c>
      <c r="G30" s="1">
        <v>3.14</v>
      </c>
      <c r="H30" s="1">
        <v>100</v>
      </c>
      <c r="I30" s="1">
        <v>2.5707000000000001E-2</v>
      </c>
      <c r="J30" s="1">
        <v>97</v>
      </c>
    </row>
    <row r="31" spans="1:11" x14ac:dyDescent="0.35">
      <c r="A31" s="1">
        <v>60</v>
      </c>
      <c r="B31" s="1">
        <v>1.875</v>
      </c>
      <c r="C31" s="1">
        <v>1.875</v>
      </c>
      <c r="D31" s="1">
        <f t="shared" si="0"/>
        <v>3.75</v>
      </c>
      <c r="E31" s="1">
        <v>4.0000000000000002E-4</v>
      </c>
      <c r="F31" s="1">
        <v>1.29</v>
      </c>
      <c r="G31" s="1">
        <v>3.14</v>
      </c>
      <c r="H31" s="1">
        <v>140</v>
      </c>
      <c r="I31" s="1">
        <v>2.222E-3</v>
      </c>
      <c r="J31" s="1">
        <v>141</v>
      </c>
    </row>
    <row r="32" spans="1:11" x14ac:dyDescent="0.35">
      <c r="A32" s="1">
        <v>61</v>
      </c>
      <c r="B32" s="1">
        <v>1.5</v>
      </c>
      <c r="C32" s="1">
        <v>1.5</v>
      </c>
      <c r="D32" s="1">
        <f t="shared" si="0"/>
        <v>3</v>
      </c>
      <c r="E32" s="1">
        <v>8.9</v>
      </c>
      <c r="F32" s="1">
        <v>0.99</v>
      </c>
      <c r="G32" s="1">
        <v>3.14</v>
      </c>
      <c r="H32" s="1">
        <v>250</v>
      </c>
      <c r="I32" s="1">
        <v>2.0785000000000001E-2</v>
      </c>
      <c r="J32" s="1">
        <v>254</v>
      </c>
    </row>
    <row r="36" spans="1:1" x14ac:dyDescent="0.35">
      <c r="A36" t="s">
        <v>1</v>
      </c>
    </row>
    <row r="37" spans="1:1" x14ac:dyDescent="0.35">
      <c r="A37" t="s">
        <v>246</v>
      </c>
    </row>
    <row r="38" spans="1:1" x14ac:dyDescent="0.35">
      <c r="A38" t="s">
        <v>247</v>
      </c>
    </row>
    <row r="39" spans="1:1" x14ac:dyDescent="0.35">
      <c r="A39" t="s">
        <v>248</v>
      </c>
    </row>
    <row r="40" spans="1:1" x14ac:dyDescent="0.35">
      <c r="A40" t="s">
        <v>249</v>
      </c>
    </row>
    <row r="41" spans="1:1" x14ac:dyDescent="0.35">
      <c r="A41" t="s">
        <v>250</v>
      </c>
    </row>
    <row r="42" spans="1:1" x14ac:dyDescent="0.35">
      <c r="A42" t="s">
        <v>251</v>
      </c>
    </row>
    <row r="43" spans="1:1" x14ac:dyDescent="0.35">
      <c r="A43" t="s">
        <v>252</v>
      </c>
    </row>
    <row r="44" spans="1:1" x14ac:dyDescent="0.35">
      <c r="A44" t="s">
        <v>253</v>
      </c>
    </row>
    <row r="45" spans="1:1" x14ac:dyDescent="0.35">
      <c r="A45" t="s">
        <v>254</v>
      </c>
    </row>
    <row r="46" spans="1:1" x14ac:dyDescent="0.35">
      <c r="A46" t="s">
        <v>255</v>
      </c>
    </row>
    <row r="47" spans="1:1" x14ac:dyDescent="0.35">
      <c r="A47" t="s">
        <v>231</v>
      </c>
    </row>
    <row r="48" spans="1:1" x14ac:dyDescent="0.35">
      <c r="A48" t="s">
        <v>256</v>
      </c>
    </row>
    <row r="49" spans="1:1" x14ac:dyDescent="0.35">
      <c r="A49" t="s">
        <v>257</v>
      </c>
    </row>
    <row r="50" spans="1:1" x14ac:dyDescent="0.35">
      <c r="A50" t="s">
        <v>258</v>
      </c>
    </row>
    <row r="51" spans="1:1" x14ac:dyDescent="0.35">
      <c r="A51" t="s">
        <v>259</v>
      </c>
    </row>
    <row r="52" spans="1:1" x14ac:dyDescent="0.35">
      <c r="A52" t="s">
        <v>260</v>
      </c>
    </row>
    <row r="53" spans="1:1" x14ac:dyDescent="0.35">
      <c r="A53" t="s">
        <v>261</v>
      </c>
    </row>
    <row r="54" spans="1:1" x14ac:dyDescent="0.35">
      <c r="A54" t="s">
        <v>262</v>
      </c>
    </row>
    <row r="55" spans="1:1" x14ac:dyDescent="0.35">
      <c r="A55" t="s">
        <v>263</v>
      </c>
    </row>
    <row r="56" spans="1:1" x14ac:dyDescent="0.35">
      <c r="A56" t="s">
        <v>264</v>
      </c>
    </row>
    <row r="57" spans="1:1" x14ac:dyDescent="0.35">
      <c r="A57" t="s">
        <v>265</v>
      </c>
    </row>
    <row r="58" spans="1:1" x14ac:dyDescent="0.35">
      <c r="A58" t="s">
        <v>266</v>
      </c>
    </row>
    <row r="59" spans="1:1" x14ac:dyDescent="0.35">
      <c r="A59" t="s">
        <v>267</v>
      </c>
    </row>
    <row r="60" spans="1:1" x14ac:dyDescent="0.35">
      <c r="A60" t="s">
        <v>268</v>
      </c>
    </row>
    <row r="61" spans="1:1" x14ac:dyDescent="0.35">
      <c r="A61" t="s">
        <v>269</v>
      </c>
    </row>
    <row r="62" spans="1:1" x14ac:dyDescent="0.35">
      <c r="A62" t="s">
        <v>270</v>
      </c>
    </row>
    <row r="63" spans="1:1" x14ac:dyDescent="0.35">
      <c r="A63" t="s">
        <v>271</v>
      </c>
    </row>
    <row r="64" spans="1:1" x14ac:dyDescent="0.35">
      <c r="A64" t="s">
        <v>272</v>
      </c>
    </row>
    <row r="65" spans="1:1" x14ac:dyDescent="0.35">
      <c r="A65" t="s">
        <v>273</v>
      </c>
    </row>
    <row r="66" spans="1:1" x14ac:dyDescent="0.35">
      <c r="A66" t="s">
        <v>274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A0421-108B-4854-AAF3-A31ADFF3905D}">
  <dimension ref="A1:K66"/>
  <sheetViews>
    <sheetView workbookViewId="0">
      <selection sqref="A1:XFD1"/>
    </sheetView>
  </sheetViews>
  <sheetFormatPr defaultRowHeight="14.5" x14ac:dyDescent="0.35"/>
  <cols>
    <col min="4" max="4" width="21.36328125" customWidth="1"/>
    <col min="8" max="8" width="8.90625" customWidth="1"/>
    <col min="9" max="9" width="13.26953125" customWidth="1"/>
  </cols>
  <sheetData>
    <row r="1" spans="1:11" x14ac:dyDescent="0.35">
      <c r="A1" s="2" t="s">
        <v>345</v>
      </c>
      <c r="B1" s="2" t="s">
        <v>344</v>
      </c>
      <c r="C1" s="2" t="s">
        <v>343</v>
      </c>
      <c r="D1" s="2" t="s">
        <v>572</v>
      </c>
      <c r="E1" s="2" t="s">
        <v>342</v>
      </c>
      <c r="F1" s="2" t="s">
        <v>341</v>
      </c>
      <c r="G1" s="2" t="s">
        <v>340</v>
      </c>
      <c r="H1" s="2" t="s">
        <v>339</v>
      </c>
      <c r="I1" s="2" t="s">
        <v>573</v>
      </c>
      <c r="J1" s="2" t="s">
        <v>338</v>
      </c>
    </row>
    <row r="2" spans="1:11" x14ac:dyDescent="0.35">
      <c r="A2" s="1">
        <v>3</v>
      </c>
      <c r="B2" s="1">
        <v>3.048</v>
      </c>
      <c r="C2" s="1">
        <v>4.5720000000000001</v>
      </c>
      <c r="D2" s="1">
        <f>2*C2</f>
        <v>9.1440000000000001</v>
      </c>
      <c r="E2" s="1">
        <v>0.45</v>
      </c>
      <c r="F2" s="1">
        <v>0.8</v>
      </c>
      <c r="G2" s="1">
        <v>3.14</v>
      </c>
      <c r="H2" s="1">
        <v>914.4</v>
      </c>
      <c r="I2" s="3">
        <v>3.3300000000000003E-2</v>
      </c>
      <c r="J2" s="1">
        <v>913</v>
      </c>
    </row>
    <row r="3" spans="1:11" x14ac:dyDescent="0.35">
      <c r="A3" s="1">
        <v>4</v>
      </c>
      <c r="B3" s="1">
        <v>3.048</v>
      </c>
      <c r="C3" s="1">
        <v>4.5720000000000001</v>
      </c>
      <c r="D3" s="1">
        <f t="shared" ref="D3:D27" si="0">2*C3</f>
        <v>9.1440000000000001</v>
      </c>
      <c r="E3" s="1">
        <v>43.28</v>
      </c>
      <c r="F3" s="1">
        <v>12.6</v>
      </c>
      <c r="G3" s="1">
        <v>3.14</v>
      </c>
      <c r="H3" s="1">
        <v>213.36</v>
      </c>
      <c r="I3" s="1">
        <v>1.5294E-2</v>
      </c>
      <c r="J3" s="1">
        <v>216</v>
      </c>
    </row>
    <row r="4" spans="1:11" x14ac:dyDescent="0.35">
      <c r="A4" s="1">
        <v>5</v>
      </c>
      <c r="B4" s="1">
        <v>1.524</v>
      </c>
      <c r="C4" s="1">
        <v>2.286</v>
      </c>
      <c r="D4" s="1">
        <f t="shared" si="0"/>
        <v>4.5720000000000001</v>
      </c>
      <c r="E4" s="1">
        <v>5.26</v>
      </c>
      <c r="F4" s="1">
        <v>10.9</v>
      </c>
      <c r="G4" s="1">
        <v>3.14</v>
      </c>
      <c r="H4" s="1">
        <v>259.08</v>
      </c>
      <c r="I4" s="1">
        <v>2.7441E-2</v>
      </c>
      <c r="J4" s="1">
        <v>255</v>
      </c>
    </row>
    <row r="5" spans="1:11" x14ac:dyDescent="0.35">
      <c r="A5" s="1">
        <v>7</v>
      </c>
      <c r="B5" s="1">
        <v>2.286</v>
      </c>
      <c r="C5" s="1">
        <v>3.4289999999999998</v>
      </c>
      <c r="D5" s="1">
        <f t="shared" si="0"/>
        <v>6.8579999999999997</v>
      </c>
      <c r="E5" s="1">
        <v>14.1</v>
      </c>
      <c r="F5" s="1">
        <v>3.7</v>
      </c>
      <c r="G5" s="1">
        <v>3.14</v>
      </c>
      <c r="H5" s="1">
        <v>146.304</v>
      </c>
      <c r="I5" s="1">
        <v>3.0838999999999998E-2</v>
      </c>
      <c r="J5" s="1">
        <v>145</v>
      </c>
    </row>
    <row r="6" spans="1:11" x14ac:dyDescent="0.35">
      <c r="A6" s="1">
        <v>8</v>
      </c>
      <c r="B6" s="1">
        <v>1.524</v>
      </c>
      <c r="C6" s="1">
        <v>2.286</v>
      </c>
      <c r="D6" s="1">
        <f t="shared" si="0"/>
        <v>4.5720000000000001</v>
      </c>
      <c r="E6" s="1">
        <v>29.64</v>
      </c>
      <c r="F6" s="1">
        <v>2.4</v>
      </c>
      <c r="G6" s="1">
        <v>3.14</v>
      </c>
      <c r="H6" s="1">
        <v>76.2</v>
      </c>
      <c r="I6" s="1">
        <v>3.8095999999999998E-2</v>
      </c>
      <c r="J6" s="1">
        <v>85</v>
      </c>
    </row>
    <row r="7" spans="1:11" x14ac:dyDescent="0.35">
      <c r="A7" s="1">
        <v>9</v>
      </c>
      <c r="B7" s="1">
        <v>3.81</v>
      </c>
      <c r="C7" s="1">
        <v>5.7149999999999999</v>
      </c>
      <c r="D7" s="1">
        <f t="shared" si="0"/>
        <v>11.43</v>
      </c>
      <c r="E7" s="1">
        <v>0.68</v>
      </c>
      <c r="F7" s="1">
        <v>2.1</v>
      </c>
      <c r="G7" s="1">
        <v>3.14</v>
      </c>
      <c r="H7" s="1">
        <v>106.68</v>
      </c>
      <c r="I7" s="1">
        <v>0.38506099999999999</v>
      </c>
      <c r="J7" s="1">
        <v>102</v>
      </c>
      <c r="K7" t="s">
        <v>346</v>
      </c>
    </row>
    <row r="8" spans="1:11" x14ac:dyDescent="0.35">
      <c r="A8" s="1">
        <v>11</v>
      </c>
      <c r="B8" s="1">
        <v>3.2004000000000001</v>
      </c>
      <c r="C8" s="1">
        <v>4.8010000000000002</v>
      </c>
      <c r="D8" s="1">
        <f t="shared" si="0"/>
        <v>9.6020000000000003</v>
      </c>
      <c r="E8" s="1">
        <v>1.806</v>
      </c>
      <c r="F8" s="1">
        <v>5</v>
      </c>
      <c r="G8" s="1">
        <v>3.14</v>
      </c>
      <c r="H8" s="1">
        <v>182.88</v>
      </c>
      <c r="I8" s="1">
        <v>0.13383700000000001</v>
      </c>
      <c r="J8" s="1">
        <v>181</v>
      </c>
      <c r="K8" t="s">
        <v>346</v>
      </c>
    </row>
    <row r="9" spans="1:11" x14ac:dyDescent="0.35">
      <c r="A9" s="1">
        <v>12</v>
      </c>
      <c r="B9" s="1">
        <v>1.524</v>
      </c>
      <c r="C9" s="1">
        <v>2.286</v>
      </c>
      <c r="D9" s="1">
        <f t="shared" si="0"/>
        <v>4.5720000000000001</v>
      </c>
      <c r="E9" s="1">
        <v>0.123</v>
      </c>
      <c r="F9" s="1">
        <v>6.5</v>
      </c>
      <c r="G9" s="1">
        <v>3.14</v>
      </c>
      <c r="H9" s="1">
        <v>42.671999999999997</v>
      </c>
      <c r="I9" s="1">
        <v>1.188E-2</v>
      </c>
      <c r="J9" s="1">
        <v>36</v>
      </c>
    </row>
    <row r="10" spans="1:11" x14ac:dyDescent="0.35">
      <c r="A10" s="1">
        <v>17</v>
      </c>
      <c r="B10" s="1">
        <v>2.286</v>
      </c>
      <c r="C10" s="1">
        <v>3.4289999999999998</v>
      </c>
      <c r="D10" s="1">
        <f t="shared" si="0"/>
        <v>6.8579999999999997</v>
      </c>
      <c r="E10" s="1">
        <v>84.9</v>
      </c>
      <c r="F10" s="1">
        <v>8.1999999999999993</v>
      </c>
      <c r="G10" s="1">
        <v>3.14</v>
      </c>
      <c r="H10" s="1">
        <v>128.01599999999999</v>
      </c>
      <c r="I10" s="1">
        <v>2.0489E-2</v>
      </c>
      <c r="J10" s="1">
        <v>127</v>
      </c>
    </row>
    <row r="11" spans="1:11" x14ac:dyDescent="0.35">
      <c r="A11" s="1">
        <v>20</v>
      </c>
      <c r="B11" s="1">
        <v>1.524</v>
      </c>
      <c r="C11" s="1">
        <v>2.286</v>
      </c>
      <c r="D11" s="1">
        <f t="shared" si="0"/>
        <v>4.5720000000000001</v>
      </c>
      <c r="E11" s="1">
        <v>90.21</v>
      </c>
      <c r="F11" s="1">
        <v>6.8</v>
      </c>
      <c r="G11" s="1">
        <v>3.14</v>
      </c>
      <c r="H11" s="1">
        <v>60.96</v>
      </c>
      <c r="I11" s="1">
        <v>5.5094999999999998E-2</v>
      </c>
      <c r="J11" s="1">
        <v>53</v>
      </c>
    </row>
    <row r="12" spans="1:11" x14ac:dyDescent="0.35">
      <c r="A12" s="1">
        <v>21</v>
      </c>
      <c r="B12" s="1">
        <v>2.286</v>
      </c>
      <c r="C12" s="1">
        <v>3.4289999999999998</v>
      </c>
      <c r="D12" s="1">
        <f t="shared" si="0"/>
        <v>6.8579999999999997</v>
      </c>
      <c r="E12" s="1">
        <v>0.46899999999999997</v>
      </c>
      <c r="F12" s="1">
        <v>11.2</v>
      </c>
      <c r="G12" s="1">
        <v>3.14</v>
      </c>
      <c r="H12" s="1">
        <v>60.96</v>
      </c>
      <c r="I12" s="1">
        <v>2.5565999999999998E-2</v>
      </c>
      <c r="J12" s="1">
        <v>60</v>
      </c>
    </row>
    <row r="13" spans="1:11" x14ac:dyDescent="0.35">
      <c r="A13" s="1">
        <v>25</v>
      </c>
      <c r="B13" s="1">
        <v>1.524</v>
      </c>
      <c r="C13" s="1">
        <v>2.286</v>
      </c>
      <c r="D13" s="1">
        <f t="shared" si="0"/>
        <v>4.5720000000000001</v>
      </c>
      <c r="E13" s="1">
        <v>7.1900000000000006E-2</v>
      </c>
      <c r="F13" s="1">
        <v>8.4</v>
      </c>
      <c r="G13" s="1">
        <v>3.14</v>
      </c>
      <c r="H13" s="1">
        <v>67.055999999999997</v>
      </c>
      <c r="I13" s="1">
        <v>5.0720000000000001E-3</v>
      </c>
      <c r="J13" s="1">
        <v>74</v>
      </c>
    </row>
    <row r="14" spans="1:11" x14ac:dyDescent="0.35">
      <c r="A14" s="1">
        <v>27</v>
      </c>
      <c r="B14" s="1">
        <v>2.1335999999999999</v>
      </c>
      <c r="C14" s="1">
        <v>3.2</v>
      </c>
      <c r="D14" s="1">
        <f t="shared" si="0"/>
        <v>6.4</v>
      </c>
      <c r="E14" s="1">
        <v>1.504</v>
      </c>
      <c r="F14" s="1">
        <v>2.4</v>
      </c>
      <c r="G14" s="1">
        <v>3.14</v>
      </c>
      <c r="H14" s="1">
        <v>396.24</v>
      </c>
      <c r="I14" s="3">
        <v>5.0700000000000002E-2</v>
      </c>
      <c r="J14" s="1">
        <v>397</v>
      </c>
    </row>
    <row r="15" spans="1:11" x14ac:dyDescent="0.35">
      <c r="A15" s="1">
        <v>28</v>
      </c>
      <c r="B15" s="1">
        <v>1.0668</v>
      </c>
      <c r="C15" s="1">
        <v>1.6</v>
      </c>
      <c r="D15" s="1">
        <f t="shared" si="0"/>
        <v>3.2</v>
      </c>
      <c r="E15" s="1">
        <v>5.375</v>
      </c>
      <c r="F15" s="1">
        <v>5.5</v>
      </c>
      <c r="G15" s="1">
        <v>3.14</v>
      </c>
      <c r="H15" s="1">
        <v>457.2</v>
      </c>
      <c r="I15" s="1">
        <v>2.2565000000000002E-2</v>
      </c>
      <c r="J15" s="1">
        <v>453</v>
      </c>
    </row>
    <row r="16" spans="1:11" x14ac:dyDescent="0.35">
      <c r="A16" s="1">
        <v>30</v>
      </c>
      <c r="B16" s="1">
        <v>1.5249999999999999</v>
      </c>
      <c r="C16" s="1">
        <v>2.2869999999999999</v>
      </c>
      <c r="D16" s="1">
        <f t="shared" si="0"/>
        <v>4.5739999999999998</v>
      </c>
      <c r="E16" s="1">
        <v>5.22</v>
      </c>
      <c r="F16" s="1">
        <v>5.7</v>
      </c>
      <c r="G16" s="1">
        <v>3.14</v>
      </c>
      <c r="H16" s="1">
        <v>152</v>
      </c>
      <c r="I16" s="1">
        <v>0.22195300000000001</v>
      </c>
      <c r="J16" s="1">
        <v>151</v>
      </c>
      <c r="K16" t="s">
        <v>346</v>
      </c>
    </row>
    <row r="17" spans="1:11" x14ac:dyDescent="0.35">
      <c r="A17" s="1">
        <v>32</v>
      </c>
      <c r="B17" s="1">
        <v>3.05</v>
      </c>
      <c r="C17" s="1">
        <v>4.5750000000000002</v>
      </c>
      <c r="D17" s="1">
        <f t="shared" si="0"/>
        <v>9.15</v>
      </c>
      <c r="E17" s="1">
        <v>2.84</v>
      </c>
      <c r="F17" s="1">
        <v>0.6</v>
      </c>
      <c r="G17" s="1">
        <v>3.14</v>
      </c>
      <c r="H17" s="1">
        <v>168</v>
      </c>
      <c r="I17" s="1">
        <v>1.6333E-2</v>
      </c>
      <c r="J17" s="1">
        <v>165</v>
      </c>
    </row>
    <row r="18" spans="1:11" x14ac:dyDescent="0.35">
      <c r="A18" s="1">
        <v>33</v>
      </c>
      <c r="B18" s="1">
        <v>0.30499999999999999</v>
      </c>
      <c r="C18" s="1">
        <v>0.45800000000000002</v>
      </c>
      <c r="D18" s="1">
        <f t="shared" si="0"/>
        <v>0.91600000000000004</v>
      </c>
      <c r="E18" s="1">
        <v>5.48</v>
      </c>
      <c r="F18" s="1">
        <v>7.4</v>
      </c>
      <c r="G18" s="1">
        <v>3.14</v>
      </c>
      <c r="H18" s="1">
        <v>107</v>
      </c>
      <c r="I18" s="1">
        <v>5.9589999999999999E-3</v>
      </c>
      <c r="J18" s="1">
        <v>112</v>
      </c>
    </row>
    <row r="19" spans="1:11" x14ac:dyDescent="0.35">
      <c r="A19" s="1">
        <v>34</v>
      </c>
      <c r="B19" s="1">
        <v>1.5249999999999999</v>
      </c>
      <c r="C19" s="1">
        <v>2.2869999999999999</v>
      </c>
      <c r="D19" s="1">
        <f t="shared" si="0"/>
        <v>4.5739999999999998</v>
      </c>
      <c r="E19" s="1">
        <v>48.65</v>
      </c>
      <c r="F19" s="1">
        <v>0.42</v>
      </c>
      <c r="G19" s="1">
        <v>3.14</v>
      </c>
      <c r="H19" s="1">
        <v>85</v>
      </c>
      <c r="I19" s="1">
        <v>1.7597999999999999E-2</v>
      </c>
      <c r="J19" s="1">
        <v>92</v>
      </c>
    </row>
    <row r="20" spans="1:11" x14ac:dyDescent="0.35">
      <c r="A20" s="1">
        <v>38</v>
      </c>
      <c r="B20" s="1">
        <v>1.22</v>
      </c>
      <c r="C20" s="1">
        <v>1.83</v>
      </c>
      <c r="D20" s="1">
        <f t="shared" si="0"/>
        <v>3.66</v>
      </c>
      <c r="E20" s="1">
        <v>0.96</v>
      </c>
      <c r="F20" s="1">
        <v>3.9</v>
      </c>
      <c r="G20" s="1">
        <v>3.14</v>
      </c>
      <c r="H20" s="1">
        <v>30</v>
      </c>
      <c r="I20" s="1">
        <v>0.12683700000000001</v>
      </c>
      <c r="J20" s="1">
        <v>27</v>
      </c>
      <c r="K20" t="s">
        <v>346</v>
      </c>
    </row>
    <row r="21" spans="1:11" x14ac:dyDescent="0.35">
      <c r="A21" s="1">
        <v>43</v>
      </c>
      <c r="B21" s="1">
        <v>1.83</v>
      </c>
      <c r="C21" s="1">
        <v>2.7450000000000001</v>
      </c>
      <c r="D21" s="1">
        <f t="shared" si="0"/>
        <v>5.49</v>
      </c>
      <c r="E21" s="1">
        <v>3.13</v>
      </c>
      <c r="F21" s="1">
        <v>8</v>
      </c>
      <c r="G21" s="1">
        <v>3.14</v>
      </c>
      <c r="H21" s="1">
        <v>96</v>
      </c>
      <c r="I21" s="1">
        <v>9.7464999999999996E-2</v>
      </c>
      <c r="J21" s="1">
        <v>101</v>
      </c>
    </row>
    <row r="22" spans="1:11" x14ac:dyDescent="0.35">
      <c r="A22" s="1">
        <v>45</v>
      </c>
      <c r="B22" s="1">
        <v>6</v>
      </c>
      <c r="C22" s="1">
        <v>9</v>
      </c>
      <c r="D22" s="1">
        <f t="shared" si="0"/>
        <v>18</v>
      </c>
      <c r="E22" s="1">
        <v>0.04</v>
      </c>
      <c r="F22" s="1">
        <v>1</v>
      </c>
      <c r="G22" s="1">
        <v>3.14</v>
      </c>
      <c r="H22" s="1">
        <v>90</v>
      </c>
      <c r="I22" s="1">
        <v>4.0096E-2</v>
      </c>
      <c r="J22" s="1">
        <v>85</v>
      </c>
    </row>
    <row r="23" spans="1:11" x14ac:dyDescent="0.35">
      <c r="A23" s="1">
        <v>49</v>
      </c>
      <c r="B23" s="1">
        <v>6</v>
      </c>
      <c r="C23" s="1">
        <v>9</v>
      </c>
      <c r="D23" s="1">
        <f t="shared" si="0"/>
        <v>18</v>
      </c>
      <c r="E23" s="1">
        <v>0.7</v>
      </c>
      <c r="F23" s="1">
        <v>2</v>
      </c>
      <c r="G23" s="1">
        <v>3.14</v>
      </c>
      <c r="H23" s="1">
        <v>90</v>
      </c>
      <c r="I23" s="1">
        <v>7.0093000000000003E-2</v>
      </c>
      <c r="J23" s="1">
        <v>86</v>
      </c>
    </row>
    <row r="24" spans="1:11" x14ac:dyDescent="0.35">
      <c r="A24" s="1">
        <v>52</v>
      </c>
      <c r="B24" s="1">
        <v>7.5</v>
      </c>
      <c r="C24" s="1">
        <v>11.25</v>
      </c>
      <c r="D24" s="1">
        <f t="shared" si="0"/>
        <v>22.5</v>
      </c>
      <c r="E24" s="1">
        <v>0.31</v>
      </c>
      <c r="F24" s="1">
        <v>1</v>
      </c>
      <c r="G24" s="1">
        <v>3.14</v>
      </c>
      <c r="H24" s="1">
        <v>160</v>
      </c>
      <c r="I24" s="1">
        <v>0.52904700000000005</v>
      </c>
      <c r="J24" s="1">
        <v>233</v>
      </c>
      <c r="K24" t="s">
        <v>346</v>
      </c>
    </row>
    <row r="25" spans="1:11" x14ac:dyDescent="0.35">
      <c r="A25" s="1">
        <v>57</v>
      </c>
      <c r="B25" s="1">
        <v>5</v>
      </c>
      <c r="C25" s="1">
        <v>7.5</v>
      </c>
      <c r="D25" s="1">
        <f t="shared" si="0"/>
        <v>15</v>
      </c>
      <c r="E25" s="1">
        <v>0.01</v>
      </c>
      <c r="F25" s="1">
        <v>4</v>
      </c>
      <c r="G25" s="1">
        <v>3.14</v>
      </c>
      <c r="H25" s="1">
        <v>100</v>
      </c>
      <c r="I25" s="1">
        <v>7.0093000000000003E-2</v>
      </c>
      <c r="J25" s="1">
        <v>98</v>
      </c>
    </row>
    <row r="26" spans="1:11" x14ac:dyDescent="0.35">
      <c r="A26" s="1">
        <v>60</v>
      </c>
      <c r="B26" s="1">
        <v>1.875</v>
      </c>
      <c r="C26" s="1">
        <v>2.8119999999999998</v>
      </c>
      <c r="D26" s="1">
        <f t="shared" si="0"/>
        <v>5.6239999999999997</v>
      </c>
      <c r="E26" s="1">
        <v>4.0000000000000002E-4</v>
      </c>
      <c r="F26" s="1">
        <v>1.29</v>
      </c>
      <c r="G26" s="1">
        <v>3.14</v>
      </c>
      <c r="H26" s="1">
        <v>140</v>
      </c>
      <c r="I26" s="1">
        <v>5.8019999999999999E-3</v>
      </c>
      <c r="J26" s="1">
        <v>141</v>
      </c>
    </row>
    <row r="27" spans="1:11" x14ac:dyDescent="0.35">
      <c r="A27" s="1">
        <v>61</v>
      </c>
      <c r="B27" s="1">
        <v>1.5</v>
      </c>
      <c r="C27" s="1">
        <v>2.25</v>
      </c>
      <c r="D27" s="1">
        <f t="shared" si="0"/>
        <v>4.5</v>
      </c>
      <c r="E27" s="1">
        <v>8.9</v>
      </c>
      <c r="F27" s="1">
        <v>0.99</v>
      </c>
      <c r="G27" s="1">
        <v>3.14</v>
      </c>
      <c r="H27" s="1">
        <v>250</v>
      </c>
      <c r="I27" s="1">
        <v>1.5966000000000001E-2</v>
      </c>
      <c r="J27" s="1">
        <v>260</v>
      </c>
    </row>
    <row r="31" spans="1:11" x14ac:dyDescent="0.35">
      <c r="A31" t="s">
        <v>1</v>
      </c>
    </row>
    <row r="32" spans="1:11" x14ac:dyDescent="0.35">
      <c r="A32" t="s">
        <v>275</v>
      </c>
    </row>
    <row r="33" spans="1:1" x14ac:dyDescent="0.35">
      <c r="A33" t="s">
        <v>276</v>
      </c>
    </row>
    <row r="34" spans="1:1" x14ac:dyDescent="0.35">
      <c r="A34" t="s">
        <v>277</v>
      </c>
    </row>
    <row r="35" spans="1:1" x14ac:dyDescent="0.35">
      <c r="A35" t="s">
        <v>278</v>
      </c>
    </row>
    <row r="36" spans="1:1" x14ac:dyDescent="0.35">
      <c r="A36" t="s">
        <v>279</v>
      </c>
    </row>
    <row r="37" spans="1:1" x14ac:dyDescent="0.35">
      <c r="A37" t="s">
        <v>280</v>
      </c>
    </row>
    <row r="38" spans="1:1" x14ac:dyDescent="0.35">
      <c r="A38" t="s">
        <v>281</v>
      </c>
    </row>
    <row r="39" spans="1:1" x14ac:dyDescent="0.35">
      <c r="A39" t="s">
        <v>282</v>
      </c>
    </row>
    <row r="40" spans="1:1" x14ac:dyDescent="0.35">
      <c r="A40" t="s">
        <v>283</v>
      </c>
    </row>
    <row r="41" spans="1:1" x14ac:dyDescent="0.35">
      <c r="A41" t="s">
        <v>284</v>
      </c>
    </row>
    <row r="42" spans="1:1" x14ac:dyDescent="0.35">
      <c r="A42" t="s">
        <v>285</v>
      </c>
    </row>
    <row r="43" spans="1:1" x14ac:dyDescent="0.35">
      <c r="A43" t="s">
        <v>286</v>
      </c>
    </row>
    <row r="44" spans="1:1" x14ac:dyDescent="0.35">
      <c r="A44" t="s">
        <v>287</v>
      </c>
    </row>
    <row r="45" spans="1:1" x14ac:dyDescent="0.35">
      <c r="A45" t="s">
        <v>288</v>
      </c>
    </row>
    <row r="46" spans="1:1" x14ac:dyDescent="0.35">
      <c r="A46" t="s">
        <v>231</v>
      </c>
    </row>
    <row r="47" spans="1:1" x14ac:dyDescent="0.35">
      <c r="A47" t="s">
        <v>289</v>
      </c>
    </row>
    <row r="48" spans="1:1" x14ac:dyDescent="0.35">
      <c r="A48" t="s">
        <v>290</v>
      </c>
    </row>
    <row r="49" spans="1:1" x14ac:dyDescent="0.35">
      <c r="A49" t="s">
        <v>291</v>
      </c>
    </row>
    <row r="50" spans="1:1" x14ac:dyDescent="0.35">
      <c r="A50" t="s">
        <v>292</v>
      </c>
    </row>
    <row r="51" spans="1:1" x14ac:dyDescent="0.35">
      <c r="A51" t="s">
        <v>293</v>
      </c>
    </row>
    <row r="52" spans="1:1" x14ac:dyDescent="0.35">
      <c r="A52" t="s">
        <v>294</v>
      </c>
    </row>
    <row r="53" spans="1:1" x14ac:dyDescent="0.35">
      <c r="A53" t="s">
        <v>295</v>
      </c>
    </row>
    <row r="54" spans="1:1" x14ac:dyDescent="0.35">
      <c r="A54" t="s">
        <v>296</v>
      </c>
    </row>
    <row r="55" spans="1:1" x14ac:dyDescent="0.35">
      <c r="A55" t="s">
        <v>297</v>
      </c>
    </row>
    <row r="56" spans="1:1" x14ac:dyDescent="0.35">
      <c r="A56" t="s">
        <v>298</v>
      </c>
    </row>
    <row r="57" spans="1:1" x14ac:dyDescent="0.35">
      <c r="A57" t="s">
        <v>299</v>
      </c>
    </row>
    <row r="58" spans="1:1" x14ac:dyDescent="0.35">
      <c r="A58" t="s">
        <v>300</v>
      </c>
    </row>
    <row r="59" spans="1:1" x14ac:dyDescent="0.35">
      <c r="A59" t="s">
        <v>267</v>
      </c>
    </row>
    <row r="60" spans="1:1" x14ac:dyDescent="0.35">
      <c r="A60" t="s">
        <v>268</v>
      </c>
    </row>
    <row r="61" spans="1:1" x14ac:dyDescent="0.35">
      <c r="A61" t="s">
        <v>301</v>
      </c>
    </row>
    <row r="62" spans="1:1" x14ac:dyDescent="0.35">
      <c r="A62" t="s">
        <v>302</v>
      </c>
    </row>
    <row r="63" spans="1:1" x14ac:dyDescent="0.35">
      <c r="A63" t="s">
        <v>303</v>
      </c>
    </row>
    <row r="64" spans="1:1" x14ac:dyDescent="0.35">
      <c r="A64" t="s">
        <v>304</v>
      </c>
    </row>
    <row r="65" spans="1:1" x14ac:dyDescent="0.35">
      <c r="A65" t="s">
        <v>305</v>
      </c>
    </row>
    <row r="66" spans="1:1" x14ac:dyDescent="0.35">
      <c r="A66" t="s">
        <v>306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56247-6808-43BD-9DDA-93C09107559D}">
  <dimension ref="A1:K66"/>
  <sheetViews>
    <sheetView workbookViewId="0">
      <selection sqref="A1:XFD1"/>
    </sheetView>
  </sheetViews>
  <sheetFormatPr defaultRowHeight="14.5" x14ac:dyDescent="0.35"/>
  <cols>
    <col min="4" max="4" width="19" customWidth="1"/>
    <col min="9" max="9" width="13.26953125" customWidth="1"/>
  </cols>
  <sheetData>
    <row r="1" spans="1:11" x14ac:dyDescent="0.35">
      <c r="A1" s="2" t="s">
        <v>345</v>
      </c>
      <c r="B1" s="2" t="s">
        <v>344</v>
      </c>
      <c r="C1" s="2" t="s">
        <v>343</v>
      </c>
      <c r="D1" s="2" t="s">
        <v>572</v>
      </c>
      <c r="E1" s="2" t="s">
        <v>342</v>
      </c>
      <c r="F1" s="2" t="s">
        <v>341</v>
      </c>
      <c r="G1" s="2" t="s">
        <v>340</v>
      </c>
      <c r="H1" s="2" t="s">
        <v>339</v>
      </c>
      <c r="I1" s="2" t="s">
        <v>573</v>
      </c>
      <c r="J1" s="2" t="s">
        <v>338</v>
      </c>
    </row>
    <row r="2" spans="1:11" x14ac:dyDescent="0.35">
      <c r="A2" s="1">
        <v>2</v>
      </c>
      <c r="B2" s="1">
        <v>1.524</v>
      </c>
      <c r="C2" s="1">
        <v>3.048</v>
      </c>
      <c r="D2" s="1">
        <f>2*C2</f>
        <v>6.0960000000000001</v>
      </c>
      <c r="E2" s="1">
        <v>28</v>
      </c>
      <c r="F2" s="1">
        <v>7.1</v>
      </c>
      <c r="G2" s="1">
        <v>3.14</v>
      </c>
      <c r="H2" s="1">
        <v>228.6</v>
      </c>
      <c r="I2" s="1">
        <v>2.2723E-2</v>
      </c>
      <c r="J2" s="1">
        <v>227</v>
      </c>
    </row>
    <row r="3" spans="1:11" x14ac:dyDescent="0.35">
      <c r="A3" s="1">
        <v>5</v>
      </c>
      <c r="B3" s="1">
        <v>1.524</v>
      </c>
      <c r="C3" s="1">
        <v>3.048</v>
      </c>
      <c r="D3" s="1">
        <f t="shared" ref="D3:D26" si="0">2*C3</f>
        <v>6.0960000000000001</v>
      </c>
      <c r="E3" s="1">
        <v>5.26</v>
      </c>
      <c r="F3" s="1">
        <v>10.9</v>
      </c>
      <c r="G3" s="1">
        <v>3.14</v>
      </c>
      <c r="H3" s="1">
        <v>259.08</v>
      </c>
      <c r="I3" s="1">
        <v>5.0782000000000001E-2</v>
      </c>
      <c r="J3" s="1">
        <v>255</v>
      </c>
    </row>
    <row r="4" spans="1:11" x14ac:dyDescent="0.35">
      <c r="A4" s="1">
        <v>7</v>
      </c>
      <c r="B4" s="1">
        <v>2.286</v>
      </c>
      <c r="C4" s="1">
        <v>4.5720000000000001</v>
      </c>
      <c r="D4" s="1">
        <f t="shared" si="0"/>
        <v>9.1440000000000001</v>
      </c>
      <c r="E4" s="1">
        <v>14.1</v>
      </c>
      <c r="F4" s="1">
        <v>3.7</v>
      </c>
      <c r="G4" s="1">
        <v>3.14</v>
      </c>
      <c r="H4" s="1">
        <v>146.304</v>
      </c>
      <c r="I4" s="1">
        <v>2.0489E-2</v>
      </c>
      <c r="J4" s="1">
        <v>149</v>
      </c>
    </row>
    <row r="5" spans="1:11" x14ac:dyDescent="0.35">
      <c r="A5" s="1">
        <v>8</v>
      </c>
      <c r="B5" s="1">
        <v>1.524</v>
      </c>
      <c r="C5" s="1">
        <v>3.048</v>
      </c>
      <c r="D5" s="1">
        <f t="shared" si="0"/>
        <v>6.0960000000000001</v>
      </c>
      <c r="E5" s="1">
        <v>29.64</v>
      </c>
      <c r="F5" s="1">
        <v>2.4</v>
      </c>
      <c r="G5" s="1">
        <v>3.14</v>
      </c>
      <c r="H5" s="1">
        <v>76.2</v>
      </c>
      <c r="I5" s="1">
        <v>3.3847000000000002E-2</v>
      </c>
      <c r="J5" s="1">
        <v>75</v>
      </c>
    </row>
    <row r="6" spans="1:11" x14ac:dyDescent="0.35">
      <c r="A6" s="1">
        <v>9</v>
      </c>
      <c r="B6" s="1">
        <v>3.81</v>
      </c>
      <c r="C6" s="1">
        <v>7.62</v>
      </c>
      <c r="D6" s="1">
        <f t="shared" si="0"/>
        <v>15.24</v>
      </c>
      <c r="E6" s="1">
        <v>0.68</v>
      </c>
      <c r="F6" s="1">
        <v>2.1</v>
      </c>
      <c r="G6" s="1">
        <v>3.14</v>
      </c>
      <c r="H6" s="1">
        <v>106.68</v>
      </c>
      <c r="I6" s="1">
        <v>0.76002400000000003</v>
      </c>
      <c r="J6" s="1">
        <v>105</v>
      </c>
      <c r="K6" t="s">
        <v>346</v>
      </c>
    </row>
    <row r="7" spans="1:11" x14ac:dyDescent="0.35">
      <c r="A7" s="1">
        <v>11</v>
      </c>
      <c r="B7" s="1">
        <v>3.2004000000000001</v>
      </c>
      <c r="C7" s="1">
        <v>6.4009999999999998</v>
      </c>
      <c r="D7" s="1">
        <f t="shared" si="0"/>
        <v>12.802</v>
      </c>
      <c r="E7" s="1">
        <v>1.806</v>
      </c>
      <c r="F7" s="1">
        <v>5</v>
      </c>
      <c r="G7" s="1">
        <v>3.14</v>
      </c>
      <c r="H7" s="1">
        <v>182.88</v>
      </c>
      <c r="I7" s="1">
        <v>0.266573</v>
      </c>
      <c r="J7" s="1">
        <v>177</v>
      </c>
      <c r="K7" t="s">
        <v>346</v>
      </c>
    </row>
    <row r="8" spans="1:11" x14ac:dyDescent="0.35">
      <c r="A8" s="1">
        <v>12</v>
      </c>
      <c r="B8" s="1">
        <v>1.524</v>
      </c>
      <c r="C8" s="1">
        <v>3.048</v>
      </c>
      <c r="D8" s="1">
        <f t="shared" si="0"/>
        <v>6.0960000000000001</v>
      </c>
      <c r="E8" s="1">
        <v>0.123</v>
      </c>
      <c r="F8" s="1">
        <v>6.5</v>
      </c>
      <c r="G8" s="1">
        <v>3.14</v>
      </c>
      <c r="H8" s="1">
        <v>42.671999999999997</v>
      </c>
      <c r="I8" s="1">
        <v>1.9661000000000001E-2</v>
      </c>
      <c r="J8" s="1">
        <v>40</v>
      </c>
    </row>
    <row r="9" spans="1:11" x14ac:dyDescent="0.35">
      <c r="A9" s="1">
        <v>14</v>
      </c>
      <c r="B9" s="1">
        <v>3.81</v>
      </c>
      <c r="C9" s="1">
        <v>7.62</v>
      </c>
      <c r="D9" s="1">
        <f t="shared" si="0"/>
        <v>15.24</v>
      </c>
      <c r="E9" s="1">
        <v>8.18</v>
      </c>
      <c r="F9" s="1">
        <v>8.6</v>
      </c>
      <c r="G9" s="1">
        <v>3.14</v>
      </c>
      <c r="H9" s="1">
        <v>219.45599999999999</v>
      </c>
      <c r="I9" s="1">
        <v>0.160084</v>
      </c>
      <c r="J9" s="1">
        <v>2</v>
      </c>
      <c r="K9" t="s">
        <v>346</v>
      </c>
    </row>
    <row r="10" spans="1:11" x14ac:dyDescent="0.35">
      <c r="A10" s="1">
        <v>17</v>
      </c>
      <c r="B10" s="1">
        <v>2.286</v>
      </c>
      <c r="C10" s="1">
        <v>4.5720000000000001</v>
      </c>
      <c r="D10" s="1">
        <f t="shared" si="0"/>
        <v>9.1440000000000001</v>
      </c>
      <c r="E10" s="1">
        <v>84.9</v>
      </c>
      <c r="F10" s="1">
        <v>8.1999999999999993</v>
      </c>
      <c r="G10" s="1">
        <v>3.14</v>
      </c>
      <c r="H10" s="1">
        <v>128.01599999999999</v>
      </c>
      <c r="I10" s="1">
        <v>1.4224000000000001E-2</v>
      </c>
      <c r="J10" s="1">
        <v>125</v>
      </c>
    </row>
    <row r="11" spans="1:11" x14ac:dyDescent="0.35">
      <c r="A11" s="1">
        <v>20</v>
      </c>
      <c r="B11" s="1">
        <v>1.524</v>
      </c>
      <c r="C11" s="1">
        <v>3.048</v>
      </c>
      <c r="D11" s="1">
        <f t="shared" si="0"/>
        <v>6.0960000000000001</v>
      </c>
      <c r="E11" s="1">
        <v>90.21</v>
      </c>
      <c r="F11" s="1">
        <v>6.8</v>
      </c>
      <c r="G11" s="1">
        <v>3.14</v>
      </c>
      <c r="H11" s="1">
        <v>60.96</v>
      </c>
      <c r="I11" s="1">
        <v>3.8095999999999998E-2</v>
      </c>
      <c r="J11" s="1">
        <v>63</v>
      </c>
    </row>
    <row r="12" spans="1:11" x14ac:dyDescent="0.35">
      <c r="A12" s="1">
        <v>21</v>
      </c>
      <c r="B12" s="1">
        <v>2.286</v>
      </c>
      <c r="C12" s="1">
        <v>4.5720000000000001</v>
      </c>
      <c r="D12" s="1">
        <f t="shared" si="0"/>
        <v>9.1440000000000001</v>
      </c>
      <c r="E12" s="1">
        <v>0.46899999999999997</v>
      </c>
      <c r="F12" s="1">
        <v>11.2</v>
      </c>
      <c r="G12" s="1">
        <v>3.14</v>
      </c>
      <c r="H12" s="1">
        <v>60.96</v>
      </c>
      <c r="I12" s="1">
        <v>4.1033E-2</v>
      </c>
      <c r="J12" s="1">
        <v>68</v>
      </c>
    </row>
    <row r="13" spans="1:11" x14ac:dyDescent="0.35">
      <c r="A13" s="1">
        <v>25</v>
      </c>
      <c r="B13" s="1">
        <v>1.524</v>
      </c>
      <c r="C13" s="1">
        <v>3.048</v>
      </c>
      <c r="D13" s="1">
        <f t="shared" si="0"/>
        <v>6.0960000000000001</v>
      </c>
      <c r="E13" s="1">
        <v>7.1900000000000006E-2</v>
      </c>
      <c r="F13" s="1">
        <v>8.4</v>
      </c>
      <c r="G13" s="1">
        <v>3.14</v>
      </c>
      <c r="H13" s="1">
        <v>67.055999999999997</v>
      </c>
      <c r="I13" s="1">
        <v>9.9349999999999994E-3</v>
      </c>
      <c r="J13" s="1">
        <v>70</v>
      </c>
    </row>
    <row r="14" spans="1:11" x14ac:dyDescent="0.35">
      <c r="A14" s="1">
        <v>27</v>
      </c>
      <c r="B14" s="1">
        <v>2.1335999999999999</v>
      </c>
      <c r="C14" s="1">
        <v>4.2670000000000003</v>
      </c>
      <c r="D14" s="1">
        <f t="shared" si="0"/>
        <v>8.5340000000000007</v>
      </c>
      <c r="E14" s="1">
        <v>1.504</v>
      </c>
      <c r="F14" s="1">
        <v>2.4</v>
      </c>
      <c r="G14" s="1">
        <v>3.14</v>
      </c>
      <c r="H14" s="1">
        <v>396.24</v>
      </c>
      <c r="I14" s="1">
        <v>9.5169000000000004E-2</v>
      </c>
      <c r="J14" s="1">
        <v>396</v>
      </c>
    </row>
    <row r="15" spans="1:11" x14ac:dyDescent="0.35">
      <c r="A15" s="1">
        <v>28</v>
      </c>
      <c r="B15" s="1">
        <v>1.0668</v>
      </c>
      <c r="C15" s="1">
        <v>2.1339999999999999</v>
      </c>
      <c r="D15" s="1">
        <f t="shared" si="0"/>
        <v>4.2679999999999998</v>
      </c>
      <c r="E15" s="1">
        <v>5.375</v>
      </c>
      <c r="F15" s="1">
        <v>5.5</v>
      </c>
      <c r="G15" s="1">
        <v>3.14</v>
      </c>
      <c r="H15" s="1">
        <v>457.2</v>
      </c>
      <c r="I15" s="1">
        <v>4.1079999999999998E-2</v>
      </c>
      <c r="J15" s="1">
        <v>459</v>
      </c>
    </row>
    <row r="16" spans="1:11" x14ac:dyDescent="0.35">
      <c r="A16" s="1">
        <v>30</v>
      </c>
      <c r="B16" s="1">
        <v>1.5249999999999999</v>
      </c>
      <c r="C16" s="1">
        <v>3.05</v>
      </c>
      <c r="D16" s="1">
        <f t="shared" si="0"/>
        <v>6.1</v>
      </c>
      <c r="E16" s="1">
        <v>5.22</v>
      </c>
      <c r="F16" s="1">
        <v>5.7</v>
      </c>
      <c r="G16" s="1">
        <v>3.14</v>
      </c>
      <c r="H16" s="1">
        <v>152</v>
      </c>
      <c r="I16" s="1">
        <v>0.50205</v>
      </c>
      <c r="J16" s="1">
        <v>146</v>
      </c>
      <c r="K16" t="s">
        <v>346</v>
      </c>
    </row>
    <row r="17" spans="1:11" x14ac:dyDescent="0.35">
      <c r="A17" s="1">
        <v>33</v>
      </c>
      <c r="B17" s="1">
        <v>0.30499999999999999</v>
      </c>
      <c r="C17" s="1">
        <v>0.61</v>
      </c>
      <c r="D17" s="1">
        <f t="shared" si="0"/>
        <v>1.22</v>
      </c>
      <c r="E17" s="1">
        <v>5.48</v>
      </c>
      <c r="F17" s="1">
        <v>7.4</v>
      </c>
      <c r="G17" s="1">
        <v>3.14</v>
      </c>
      <c r="H17" s="1">
        <v>107</v>
      </c>
      <c r="I17" s="1">
        <v>1.1845E-2</v>
      </c>
      <c r="J17" s="1">
        <v>105</v>
      </c>
    </row>
    <row r="18" spans="1:11" x14ac:dyDescent="0.35">
      <c r="A18" s="1">
        <v>34</v>
      </c>
      <c r="B18" s="1">
        <v>1.5249999999999999</v>
      </c>
      <c r="C18" s="1">
        <v>3.05</v>
      </c>
      <c r="D18" s="1">
        <f t="shared" si="0"/>
        <v>6.1</v>
      </c>
      <c r="E18" s="1">
        <v>48.65</v>
      </c>
      <c r="F18" s="1">
        <v>0.42</v>
      </c>
      <c r="G18" s="1">
        <v>3.14</v>
      </c>
      <c r="H18" s="1">
        <v>85</v>
      </c>
      <c r="I18" s="1">
        <v>1.5348000000000001E-2</v>
      </c>
      <c r="J18" s="1">
        <v>84</v>
      </c>
    </row>
    <row r="19" spans="1:11" x14ac:dyDescent="0.35">
      <c r="A19" s="1">
        <v>38</v>
      </c>
      <c r="B19" s="1">
        <v>1.22</v>
      </c>
      <c r="C19" s="1">
        <v>2.44</v>
      </c>
      <c r="D19" s="1">
        <f t="shared" si="0"/>
        <v>4.88</v>
      </c>
      <c r="E19" s="1">
        <v>0.96</v>
      </c>
      <c r="F19" s="1">
        <v>3.9</v>
      </c>
      <c r="G19" s="1">
        <v>3.14</v>
      </c>
      <c r="H19" s="1">
        <v>30</v>
      </c>
      <c r="I19" s="1">
        <v>0.25307499999999999</v>
      </c>
      <c r="J19" s="1">
        <v>27</v>
      </c>
      <c r="K19" t="s">
        <v>346</v>
      </c>
    </row>
    <row r="20" spans="1:11" x14ac:dyDescent="0.35">
      <c r="A20" s="1">
        <v>43</v>
      </c>
      <c r="B20" s="1">
        <v>1.83</v>
      </c>
      <c r="C20" s="1">
        <v>3.66</v>
      </c>
      <c r="D20" s="1">
        <f t="shared" si="0"/>
        <v>7.32</v>
      </c>
      <c r="E20" s="1">
        <v>3.13</v>
      </c>
      <c r="F20" s="1">
        <v>8</v>
      </c>
      <c r="G20" s="1">
        <v>3.14</v>
      </c>
      <c r="H20" s="1">
        <v>96</v>
      </c>
      <c r="I20" s="1">
        <v>0.19570499999999999</v>
      </c>
      <c r="J20" s="1">
        <v>99</v>
      </c>
      <c r="K20" t="s">
        <v>346</v>
      </c>
    </row>
    <row r="21" spans="1:11" x14ac:dyDescent="0.35">
      <c r="A21" s="1">
        <v>44</v>
      </c>
      <c r="B21" s="1">
        <v>6</v>
      </c>
      <c r="C21" s="1">
        <v>12</v>
      </c>
      <c r="D21" s="1">
        <f t="shared" si="0"/>
        <v>24</v>
      </c>
      <c r="E21" s="1">
        <v>7.0000000000000007E-2</v>
      </c>
      <c r="F21" s="1">
        <v>1</v>
      </c>
      <c r="G21" s="1">
        <v>3.14</v>
      </c>
      <c r="H21" s="1">
        <v>140</v>
      </c>
      <c r="I21" s="1">
        <v>0.53804600000000002</v>
      </c>
      <c r="J21" s="1">
        <v>70</v>
      </c>
      <c r="K21" t="s">
        <v>346</v>
      </c>
    </row>
    <row r="22" spans="1:11" x14ac:dyDescent="0.35">
      <c r="A22" s="1">
        <v>45</v>
      </c>
      <c r="B22" s="1">
        <v>6</v>
      </c>
      <c r="C22" s="1">
        <v>12</v>
      </c>
      <c r="D22" s="1">
        <f t="shared" si="0"/>
        <v>24</v>
      </c>
      <c r="E22" s="1">
        <v>0.04</v>
      </c>
      <c r="F22" s="1">
        <v>1</v>
      </c>
      <c r="G22" s="1">
        <v>3.14</v>
      </c>
      <c r="H22" s="1">
        <v>90</v>
      </c>
      <c r="I22" s="1">
        <v>0.53804600000000002</v>
      </c>
      <c r="J22" s="1">
        <v>52</v>
      </c>
      <c r="K22" t="s">
        <v>346</v>
      </c>
    </row>
    <row r="23" spans="1:11" x14ac:dyDescent="0.35">
      <c r="A23" s="1">
        <v>49</v>
      </c>
      <c r="B23" s="1">
        <v>6</v>
      </c>
      <c r="C23" s="1">
        <v>12</v>
      </c>
      <c r="D23" s="1">
        <f t="shared" si="0"/>
        <v>24</v>
      </c>
      <c r="E23" s="1">
        <v>0.7</v>
      </c>
      <c r="F23" s="1">
        <v>2</v>
      </c>
      <c r="G23" s="1">
        <v>3.14</v>
      </c>
      <c r="H23" s="1">
        <v>90</v>
      </c>
      <c r="I23" s="1">
        <v>0.191581</v>
      </c>
      <c r="J23" s="1">
        <v>47</v>
      </c>
      <c r="K23" t="s">
        <v>346</v>
      </c>
    </row>
    <row r="24" spans="1:11" x14ac:dyDescent="0.35">
      <c r="A24" s="1">
        <v>53</v>
      </c>
      <c r="B24" s="1">
        <v>1</v>
      </c>
      <c r="C24" s="1">
        <v>2</v>
      </c>
      <c r="D24" s="1">
        <f t="shared" si="0"/>
        <v>4</v>
      </c>
      <c r="E24" s="1">
        <v>0.01</v>
      </c>
      <c r="F24" s="1">
        <v>7.5</v>
      </c>
      <c r="G24" s="1">
        <v>3.14</v>
      </c>
      <c r="H24" s="1">
        <v>120</v>
      </c>
      <c r="I24" s="1">
        <v>2.8310000000000002E-3</v>
      </c>
      <c r="J24" s="1">
        <v>119</v>
      </c>
    </row>
    <row r="25" spans="1:11" x14ac:dyDescent="0.35">
      <c r="A25" s="1">
        <v>60</v>
      </c>
      <c r="B25" s="1">
        <v>1.875</v>
      </c>
      <c r="C25" s="1">
        <v>3.75</v>
      </c>
      <c r="D25" s="1">
        <f t="shared" si="0"/>
        <v>7.5</v>
      </c>
      <c r="E25" s="1">
        <v>4.0000000000000002E-4</v>
      </c>
      <c r="F25" s="1">
        <v>1.29</v>
      </c>
      <c r="G25" s="1">
        <v>3.14</v>
      </c>
      <c r="H25" s="1">
        <v>140</v>
      </c>
      <c r="I25" s="1">
        <v>1.1549E-2</v>
      </c>
      <c r="J25" s="1">
        <v>134</v>
      </c>
    </row>
    <row r="26" spans="1:11" x14ac:dyDescent="0.35">
      <c r="A26" s="1">
        <v>61</v>
      </c>
      <c r="B26" s="1">
        <v>1.5</v>
      </c>
      <c r="C26" s="1">
        <v>3</v>
      </c>
      <c r="D26" s="1">
        <f t="shared" si="0"/>
        <v>6</v>
      </c>
      <c r="E26" s="1">
        <v>8.9</v>
      </c>
      <c r="F26" s="1">
        <v>0.99</v>
      </c>
      <c r="G26" s="1">
        <v>3.14</v>
      </c>
      <c r="H26" s="1">
        <v>250</v>
      </c>
      <c r="I26" s="1">
        <v>1.3661E-2</v>
      </c>
      <c r="J26" s="1">
        <v>243</v>
      </c>
    </row>
    <row r="30" spans="1:11" x14ac:dyDescent="0.35">
      <c r="A30" t="s">
        <v>1</v>
      </c>
    </row>
    <row r="31" spans="1:11" x14ac:dyDescent="0.35">
      <c r="A31" t="s">
        <v>307</v>
      </c>
    </row>
    <row r="32" spans="1:11" x14ac:dyDescent="0.35">
      <c r="A32" t="s">
        <v>308</v>
      </c>
    </row>
    <row r="33" spans="1:1" x14ac:dyDescent="0.35">
      <c r="A33" t="s">
        <v>309</v>
      </c>
    </row>
    <row r="34" spans="1:1" x14ac:dyDescent="0.35">
      <c r="A34" t="s">
        <v>310</v>
      </c>
    </row>
    <row r="35" spans="1:1" x14ac:dyDescent="0.35">
      <c r="A35" t="s">
        <v>311</v>
      </c>
    </row>
    <row r="36" spans="1:1" x14ac:dyDescent="0.35">
      <c r="A36" t="s">
        <v>312</v>
      </c>
    </row>
    <row r="37" spans="1:1" x14ac:dyDescent="0.35">
      <c r="A37" t="s">
        <v>313</v>
      </c>
    </row>
    <row r="38" spans="1:1" x14ac:dyDescent="0.35">
      <c r="A38" t="s">
        <v>314</v>
      </c>
    </row>
    <row r="39" spans="1:1" x14ac:dyDescent="0.35">
      <c r="A39" t="s">
        <v>315</v>
      </c>
    </row>
    <row r="40" spans="1:1" x14ac:dyDescent="0.35">
      <c r="A40" t="s">
        <v>316</v>
      </c>
    </row>
    <row r="41" spans="1:1" x14ac:dyDescent="0.35">
      <c r="A41" t="s">
        <v>317</v>
      </c>
    </row>
    <row r="42" spans="1:1" x14ac:dyDescent="0.35">
      <c r="A42" t="s">
        <v>318</v>
      </c>
    </row>
    <row r="43" spans="1:1" x14ac:dyDescent="0.35">
      <c r="A43" t="s">
        <v>319</v>
      </c>
    </row>
    <row r="44" spans="1:1" x14ac:dyDescent="0.35">
      <c r="A44" t="s">
        <v>320</v>
      </c>
    </row>
    <row r="45" spans="1:1" x14ac:dyDescent="0.35">
      <c r="A45" t="s">
        <v>231</v>
      </c>
    </row>
    <row r="46" spans="1:1" x14ac:dyDescent="0.35">
      <c r="A46" t="s">
        <v>321</v>
      </c>
    </row>
    <row r="47" spans="1:1" x14ac:dyDescent="0.35">
      <c r="A47" t="s">
        <v>322</v>
      </c>
    </row>
    <row r="48" spans="1:1" x14ac:dyDescent="0.35">
      <c r="A48" t="s">
        <v>323</v>
      </c>
    </row>
    <row r="49" spans="1:1" x14ac:dyDescent="0.35">
      <c r="A49" t="s">
        <v>324</v>
      </c>
    </row>
    <row r="50" spans="1:1" x14ac:dyDescent="0.35">
      <c r="A50" t="s">
        <v>325</v>
      </c>
    </row>
    <row r="51" spans="1:1" x14ac:dyDescent="0.35">
      <c r="A51" t="s">
        <v>326</v>
      </c>
    </row>
    <row r="52" spans="1:1" x14ac:dyDescent="0.35">
      <c r="A52" t="s">
        <v>327</v>
      </c>
    </row>
    <row r="53" spans="1:1" x14ac:dyDescent="0.35">
      <c r="A53" t="s">
        <v>328</v>
      </c>
    </row>
    <row r="54" spans="1:1" x14ac:dyDescent="0.35">
      <c r="A54" t="s">
        <v>329</v>
      </c>
    </row>
    <row r="55" spans="1:1" x14ac:dyDescent="0.35">
      <c r="A55" t="s">
        <v>330</v>
      </c>
    </row>
    <row r="56" spans="1:1" x14ac:dyDescent="0.35">
      <c r="A56" t="s">
        <v>331</v>
      </c>
    </row>
    <row r="57" spans="1:1" x14ac:dyDescent="0.35">
      <c r="A57" t="s">
        <v>332</v>
      </c>
    </row>
    <row r="58" spans="1:1" x14ac:dyDescent="0.35">
      <c r="A58" t="s">
        <v>267</v>
      </c>
    </row>
    <row r="59" spans="1:1" x14ac:dyDescent="0.35">
      <c r="A59" t="s">
        <v>268</v>
      </c>
    </row>
    <row r="60" spans="1:1" x14ac:dyDescent="0.35">
      <c r="A60" t="s">
        <v>333</v>
      </c>
    </row>
    <row r="61" spans="1:1" x14ac:dyDescent="0.35">
      <c r="A61" t="s">
        <v>334</v>
      </c>
    </row>
    <row r="62" spans="1:1" x14ac:dyDescent="0.35">
      <c r="A62" t="s">
        <v>303</v>
      </c>
    </row>
    <row r="63" spans="1:1" x14ac:dyDescent="0.35">
      <c r="A63" t="s">
        <v>304</v>
      </c>
    </row>
    <row r="64" spans="1:1" x14ac:dyDescent="0.35">
      <c r="A64" t="s">
        <v>335</v>
      </c>
    </row>
    <row r="65" spans="1:1" x14ac:dyDescent="0.35">
      <c r="A65" t="s">
        <v>336</v>
      </c>
    </row>
    <row r="66" spans="1:1" x14ac:dyDescent="0.35">
      <c r="A66" t="s">
        <v>337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F853C-15EA-442F-A95B-285C9C0CF5AA}">
  <dimension ref="A1:J66"/>
  <sheetViews>
    <sheetView workbookViewId="0">
      <selection sqref="A1:XFD1"/>
    </sheetView>
  </sheetViews>
  <sheetFormatPr defaultRowHeight="14.5" x14ac:dyDescent="0.35"/>
  <cols>
    <col min="4" max="4" width="18.6328125" customWidth="1"/>
    <col min="9" max="9" width="18.6328125" customWidth="1"/>
  </cols>
  <sheetData>
    <row r="1" spans="1:10" x14ac:dyDescent="0.35">
      <c r="A1" s="2" t="s">
        <v>345</v>
      </c>
      <c r="B1" s="2" t="s">
        <v>344</v>
      </c>
      <c r="C1" s="2" t="s">
        <v>343</v>
      </c>
      <c r="D1" s="2" t="s">
        <v>572</v>
      </c>
      <c r="E1" s="2" t="s">
        <v>342</v>
      </c>
      <c r="F1" s="2" t="s">
        <v>341</v>
      </c>
      <c r="G1" s="2" t="s">
        <v>340</v>
      </c>
      <c r="H1" s="2" t="s">
        <v>339</v>
      </c>
      <c r="I1" s="2" t="s">
        <v>573</v>
      </c>
      <c r="J1" s="2" t="s">
        <v>338</v>
      </c>
    </row>
    <row r="2" spans="1:10" x14ac:dyDescent="0.35">
      <c r="A2" s="1">
        <v>1</v>
      </c>
      <c r="B2" s="1">
        <v>4.5720000000000001</v>
      </c>
      <c r="C2" s="1">
        <v>0.45700000000000002</v>
      </c>
      <c r="D2" s="1">
        <f>2*C2</f>
        <v>0.91400000000000003</v>
      </c>
      <c r="E2" s="1">
        <v>3.55</v>
      </c>
      <c r="F2" s="1">
        <v>37.67</v>
      </c>
      <c r="G2" s="1">
        <v>3.14</v>
      </c>
      <c r="H2" s="1">
        <v>274.32</v>
      </c>
      <c r="I2" s="1">
        <v>1.92E-4</v>
      </c>
      <c r="J2" s="1">
        <v>284</v>
      </c>
    </row>
    <row r="3" spans="1:10" x14ac:dyDescent="0.35">
      <c r="A3" s="1">
        <v>4</v>
      </c>
      <c r="B3" s="1">
        <v>3.048</v>
      </c>
      <c r="C3" s="1">
        <v>0.30499999999999999</v>
      </c>
      <c r="D3" s="1">
        <f t="shared" ref="D3:D31" si="0">2*C3</f>
        <v>0.61</v>
      </c>
      <c r="E3" s="1">
        <v>43.28</v>
      </c>
      <c r="F3" s="1">
        <v>103.4</v>
      </c>
      <c r="G3" s="1">
        <v>3.14</v>
      </c>
      <c r="H3" s="1">
        <v>213.36</v>
      </c>
      <c r="I3" s="1">
        <v>8.3199999999999995E-4</v>
      </c>
      <c r="J3" s="1">
        <v>210</v>
      </c>
    </row>
    <row r="4" spans="1:10" x14ac:dyDescent="0.35">
      <c r="A4" s="1">
        <v>6</v>
      </c>
      <c r="B4" s="1">
        <v>3.81</v>
      </c>
      <c r="C4" s="1">
        <v>0.38100000000000001</v>
      </c>
      <c r="D4" s="1">
        <f t="shared" si="0"/>
        <v>0.76200000000000001</v>
      </c>
      <c r="E4" s="1">
        <v>4.03</v>
      </c>
      <c r="F4" s="1">
        <v>35.049999999999997</v>
      </c>
      <c r="G4" s="1">
        <v>3.14</v>
      </c>
      <c r="H4" s="1">
        <v>91.44</v>
      </c>
      <c r="I4" s="1">
        <v>5.8799999999999998E-4</v>
      </c>
      <c r="J4" s="1">
        <v>89</v>
      </c>
    </row>
    <row r="5" spans="1:10" x14ac:dyDescent="0.35">
      <c r="A5" s="1">
        <v>8</v>
      </c>
      <c r="B5" s="1">
        <v>1.524</v>
      </c>
      <c r="C5" s="1">
        <v>0.152</v>
      </c>
      <c r="D5" s="1">
        <f t="shared" si="0"/>
        <v>0.30399999999999999</v>
      </c>
      <c r="E5" s="1">
        <v>29.64</v>
      </c>
      <c r="F5" s="1">
        <v>113.77</v>
      </c>
      <c r="G5" s="1">
        <v>3.14</v>
      </c>
      <c r="H5" s="1">
        <v>76.2</v>
      </c>
      <c r="I5" s="1">
        <v>3.4400000000000001E-4</v>
      </c>
      <c r="J5" s="1">
        <v>74</v>
      </c>
    </row>
    <row r="6" spans="1:10" x14ac:dyDescent="0.35">
      <c r="A6" s="1">
        <v>13</v>
      </c>
      <c r="B6" s="1">
        <v>1.524</v>
      </c>
      <c r="C6" s="1">
        <v>0.152</v>
      </c>
      <c r="D6" s="1">
        <f t="shared" si="0"/>
        <v>0.30399999999999999</v>
      </c>
      <c r="E6" s="1">
        <v>12.84</v>
      </c>
      <c r="F6" s="1">
        <v>29.26</v>
      </c>
      <c r="G6" s="1">
        <v>3.14</v>
      </c>
      <c r="H6" s="1">
        <v>109.72799999999999</v>
      </c>
      <c r="I6" s="1">
        <v>4.66E-4</v>
      </c>
      <c r="J6" s="1">
        <v>108</v>
      </c>
    </row>
    <row r="7" spans="1:10" x14ac:dyDescent="0.35">
      <c r="A7" s="1">
        <v>14</v>
      </c>
      <c r="B7" s="1">
        <v>3.81</v>
      </c>
      <c r="C7" s="1">
        <v>0.38100000000000001</v>
      </c>
      <c r="D7" s="1">
        <f t="shared" si="0"/>
        <v>0.76200000000000001</v>
      </c>
      <c r="E7" s="1">
        <v>8.18</v>
      </c>
      <c r="F7" s="1">
        <v>23.9</v>
      </c>
      <c r="G7" s="1">
        <v>3.14</v>
      </c>
      <c r="H7" s="1">
        <v>219.45599999999999</v>
      </c>
      <c r="I7" s="1">
        <v>7.7099999999999998E-4</v>
      </c>
      <c r="J7" s="1">
        <v>217</v>
      </c>
    </row>
    <row r="8" spans="1:10" x14ac:dyDescent="0.35">
      <c r="A8" s="1">
        <v>15</v>
      </c>
      <c r="B8" s="1">
        <v>1.524</v>
      </c>
      <c r="C8" s="1">
        <v>0.152</v>
      </c>
      <c r="D8" s="1">
        <f t="shared" si="0"/>
        <v>0.30399999999999999</v>
      </c>
      <c r="E8" s="1">
        <v>13.8</v>
      </c>
      <c r="F8" s="1">
        <v>57.76</v>
      </c>
      <c r="G8" s="1">
        <v>3.14</v>
      </c>
      <c r="H8" s="1">
        <v>96.012</v>
      </c>
      <c r="I8" s="1">
        <v>2.22E-4</v>
      </c>
      <c r="J8" s="1">
        <v>90</v>
      </c>
    </row>
    <row r="9" spans="1:10" x14ac:dyDescent="0.35">
      <c r="A9" s="1">
        <v>16</v>
      </c>
      <c r="B9" s="1">
        <v>3.048</v>
      </c>
      <c r="C9" s="1">
        <v>0.30499999999999999</v>
      </c>
      <c r="D9" s="1">
        <f t="shared" si="0"/>
        <v>0.61</v>
      </c>
      <c r="E9" s="1">
        <v>13.118</v>
      </c>
      <c r="F9" s="1">
        <v>77.8</v>
      </c>
      <c r="G9" s="1">
        <v>3.14</v>
      </c>
      <c r="H9" s="1">
        <v>53.34</v>
      </c>
      <c r="I9" s="1">
        <v>1.0759999999999999E-3</v>
      </c>
      <c r="J9" s="1">
        <v>53</v>
      </c>
    </row>
    <row r="10" spans="1:10" x14ac:dyDescent="0.35">
      <c r="A10" s="1">
        <v>17</v>
      </c>
      <c r="B10" s="1">
        <v>2.286</v>
      </c>
      <c r="C10" s="1">
        <v>0.22900000000000001</v>
      </c>
      <c r="D10" s="1">
        <f t="shared" si="0"/>
        <v>0.45800000000000002</v>
      </c>
      <c r="E10" s="1">
        <v>84.9</v>
      </c>
      <c r="F10" s="1">
        <v>97.662999999999997</v>
      </c>
      <c r="G10" s="1">
        <v>3.14</v>
      </c>
      <c r="H10" s="1">
        <v>128.01599999999999</v>
      </c>
      <c r="I10" s="1">
        <v>4.006E-3</v>
      </c>
      <c r="J10" s="1">
        <v>128</v>
      </c>
    </row>
    <row r="11" spans="1:10" x14ac:dyDescent="0.35">
      <c r="A11" s="1">
        <v>18</v>
      </c>
      <c r="B11" s="1">
        <v>3.81</v>
      </c>
      <c r="C11" s="1">
        <v>0.38100000000000001</v>
      </c>
      <c r="D11" s="1">
        <f t="shared" si="0"/>
        <v>0.76200000000000001</v>
      </c>
      <c r="E11" s="1">
        <v>22.9</v>
      </c>
      <c r="F11" s="1">
        <v>90.85</v>
      </c>
      <c r="G11" s="1">
        <v>3.14</v>
      </c>
      <c r="H11" s="1">
        <v>914.4</v>
      </c>
      <c r="I11" s="1">
        <v>1.1900000000000001E-4</v>
      </c>
      <c r="J11" s="1">
        <v>905</v>
      </c>
    </row>
    <row r="12" spans="1:10" x14ac:dyDescent="0.35">
      <c r="A12" s="1">
        <v>19</v>
      </c>
      <c r="B12" s="1">
        <v>4.5720000000000001</v>
      </c>
      <c r="C12" s="1">
        <v>0.45700000000000002</v>
      </c>
      <c r="D12" s="1">
        <f t="shared" si="0"/>
        <v>0.91400000000000003</v>
      </c>
      <c r="E12" s="1">
        <v>49.3</v>
      </c>
      <c r="F12" s="1">
        <v>107.76</v>
      </c>
      <c r="G12" s="1">
        <v>3.14</v>
      </c>
      <c r="H12" s="1">
        <v>192.024</v>
      </c>
      <c r="I12" s="1">
        <v>2.5409999999999999E-3</v>
      </c>
      <c r="J12" s="1">
        <v>187</v>
      </c>
    </row>
    <row r="13" spans="1:10" x14ac:dyDescent="0.35">
      <c r="A13" s="1">
        <v>20</v>
      </c>
      <c r="B13" s="1">
        <v>1.524</v>
      </c>
      <c r="C13" s="1">
        <v>0.152</v>
      </c>
      <c r="D13" s="1">
        <f t="shared" si="0"/>
        <v>0.30399999999999999</v>
      </c>
      <c r="E13" s="1">
        <v>90.21</v>
      </c>
      <c r="F13" s="1">
        <v>90.19</v>
      </c>
      <c r="G13" s="1">
        <v>3.14</v>
      </c>
      <c r="H13" s="1">
        <v>60.96</v>
      </c>
      <c r="I13" s="1">
        <v>1.5723000000000001E-2</v>
      </c>
      <c r="J13" s="1">
        <v>51</v>
      </c>
    </row>
    <row r="14" spans="1:10" x14ac:dyDescent="0.35">
      <c r="A14" s="1">
        <v>22</v>
      </c>
      <c r="B14" s="1">
        <v>2.286</v>
      </c>
      <c r="C14" s="1">
        <v>0.22900000000000001</v>
      </c>
      <c r="D14" s="1">
        <f t="shared" si="0"/>
        <v>0.45800000000000002</v>
      </c>
      <c r="E14" s="1">
        <v>20.95</v>
      </c>
      <c r="F14" s="1">
        <v>25.72</v>
      </c>
      <c r="G14" s="1">
        <v>3.14</v>
      </c>
      <c r="H14" s="1">
        <v>106.68</v>
      </c>
      <c r="I14" s="1">
        <v>4.006E-3</v>
      </c>
      <c r="J14" s="1">
        <v>103</v>
      </c>
    </row>
    <row r="15" spans="1:10" x14ac:dyDescent="0.35">
      <c r="A15" s="1">
        <v>26</v>
      </c>
      <c r="B15" s="1">
        <v>4.2671999999999999</v>
      </c>
      <c r="C15" s="1">
        <v>0.42699999999999999</v>
      </c>
      <c r="D15" s="1">
        <f t="shared" si="0"/>
        <v>0.85399999999999998</v>
      </c>
      <c r="E15" s="1">
        <v>25.4</v>
      </c>
      <c r="F15" s="1">
        <v>24.5</v>
      </c>
      <c r="G15" s="1">
        <v>3.14</v>
      </c>
      <c r="H15" s="1">
        <v>71.3232</v>
      </c>
      <c r="I15" s="1">
        <v>6.2593999999999997E-2</v>
      </c>
      <c r="J15" s="1">
        <v>77</v>
      </c>
    </row>
    <row r="16" spans="1:10" x14ac:dyDescent="0.35">
      <c r="A16" s="1">
        <v>29</v>
      </c>
      <c r="B16" s="1">
        <v>1.0669999999999999</v>
      </c>
      <c r="C16" s="1">
        <v>0.107</v>
      </c>
      <c r="D16" s="1">
        <f t="shared" si="0"/>
        <v>0.214</v>
      </c>
      <c r="E16" s="1">
        <v>3.57</v>
      </c>
      <c r="F16" s="1">
        <v>3.88</v>
      </c>
      <c r="G16" s="1">
        <v>3.14</v>
      </c>
      <c r="H16" s="1">
        <v>57.302399999999999</v>
      </c>
      <c r="I16" s="1">
        <v>7.9120000000000006E-3</v>
      </c>
      <c r="J16" s="1">
        <v>57</v>
      </c>
    </row>
    <row r="17" spans="1:10" x14ac:dyDescent="0.35">
      <c r="A17" s="1">
        <v>31</v>
      </c>
      <c r="B17" s="1">
        <v>4.57</v>
      </c>
      <c r="C17" s="1">
        <v>0.45700000000000002</v>
      </c>
      <c r="D17" s="1">
        <f t="shared" si="0"/>
        <v>0.91400000000000003</v>
      </c>
      <c r="E17" s="1">
        <v>9.23</v>
      </c>
      <c r="F17" s="1">
        <v>14.71</v>
      </c>
      <c r="G17" s="1">
        <v>3.14</v>
      </c>
      <c r="H17" s="1">
        <v>366</v>
      </c>
      <c r="I17" s="1">
        <v>1.931E-3</v>
      </c>
      <c r="J17" s="1">
        <v>361</v>
      </c>
    </row>
    <row r="18" spans="1:10" x14ac:dyDescent="0.35">
      <c r="A18" s="1">
        <v>32</v>
      </c>
      <c r="B18" s="1">
        <v>3.05</v>
      </c>
      <c r="C18" s="1">
        <v>0.30499999999999999</v>
      </c>
      <c r="D18" s="1">
        <f t="shared" si="0"/>
        <v>0.61</v>
      </c>
      <c r="E18" s="1">
        <v>2.84</v>
      </c>
      <c r="F18" s="1">
        <v>24.6</v>
      </c>
      <c r="G18" s="1">
        <v>3.14</v>
      </c>
      <c r="H18" s="1">
        <v>168</v>
      </c>
      <c r="I18" s="1">
        <v>1.92E-4</v>
      </c>
      <c r="J18" s="1">
        <v>177</v>
      </c>
    </row>
    <row r="19" spans="1:10" x14ac:dyDescent="0.35">
      <c r="A19" s="1">
        <v>34</v>
      </c>
      <c r="B19" s="1">
        <v>1.5249999999999999</v>
      </c>
      <c r="C19" s="1">
        <v>0.152</v>
      </c>
      <c r="D19" s="1">
        <f t="shared" si="0"/>
        <v>0.30399999999999999</v>
      </c>
      <c r="E19" s="1">
        <v>48.65</v>
      </c>
      <c r="F19" s="1">
        <v>47.59</v>
      </c>
      <c r="G19" s="1">
        <v>3.14</v>
      </c>
      <c r="H19" s="1">
        <v>85</v>
      </c>
      <c r="I19" s="1">
        <v>1.5723000000000001E-2</v>
      </c>
      <c r="J19" s="1">
        <v>80</v>
      </c>
    </row>
    <row r="20" spans="1:10" x14ac:dyDescent="0.35">
      <c r="A20" s="1">
        <v>35</v>
      </c>
      <c r="B20" s="1">
        <v>5.335</v>
      </c>
      <c r="C20" s="1">
        <v>0.53300000000000003</v>
      </c>
      <c r="D20" s="1">
        <f t="shared" si="0"/>
        <v>1.0660000000000001</v>
      </c>
      <c r="E20" s="1">
        <v>18.27</v>
      </c>
      <c r="F20" s="1">
        <v>25.45</v>
      </c>
      <c r="G20" s="1">
        <v>3.14</v>
      </c>
      <c r="H20" s="1">
        <v>229</v>
      </c>
      <c r="I20" s="1">
        <v>1.1845E-2</v>
      </c>
      <c r="J20" s="1">
        <v>227</v>
      </c>
    </row>
    <row r="21" spans="1:10" x14ac:dyDescent="0.35">
      <c r="A21" s="1">
        <v>36</v>
      </c>
      <c r="B21" s="1">
        <v>4.57</v>
      </c>
      <c r="C21" s="1">
        <v>0.45700000000000002</v>
      </c>
      <c r="D21" s="1">
        <f t="shared" si="0"/>
        <v>0.91400000000000003</v>
      </c>
      <c r="E21" s="1">
        <v>3.23</v>
      </c>
      <c r="F21" s="1">
        <v>41.2</v>
      </c>
      <c r="G21" s="1">
        <v>3.14</v>
      </c>
      <c r="H21" s="1">
        <v>198</v>
      </c>
      <c r="I21" s="1">
        <v>4.0499999999999998E-4</v>
      </c>
      <c r="J21" s="1">
        <v>207</v>
      </c>
    </row>
    <row r="22" spans="1:10" x14ac:dyDescent="0.35">
      <c r="A22" s="1">
        <v>39</v>
      </c>
      <c r="B22" s="1">
        <v>1.22</v>
      </c>
      <c r="C22" s="1">
        <v>0.122</v>
      </c>
      <c r="D22" s="1">
        <f t="shared" si="0"/>
        <v>0.24399999999999999</v>
      </c>
      <c r="E22" s="1">
        <v>13.8</v>
      </c>
      <c r="F22" s="1">
        <v>36.24</v>
      </c>
      <c r="G22" s="1">
        <v>3.14</v>
      </c>
      <c r="H22" s="1">
        <v>64</v>
      </c>
      <c r="I22" s="1">
        <v>4.66E-4</v>
      </c>
      <c r="J22" s="1">
        <v>63</v>
      </c>
    </row>
    <row r="23" spans="1:10" x14ac:dyDescent="0.35">
      <c r="A23" s="1">
        <v>40</v>
      </c>
      <c r="B23" s="1">
        <v>8.3800000000000008</v>
      </c>
      <c r="C23" s="1">
        <v>0.83799999999999997</v>
      </c>
      <c r="D23" s="1">
        <f t="shared" si="0"/>
        <v>1.6759999999999999</v>
      </c>
      <c r="E23" s="1">
        <v>32.56</v>
      </c>
      <c r="F23" s="1">
        <v>25.97</v>
      </c>
      <c r="G23" s="1">
        <v>3.14</v>
      </c>
      <c r="H23" s="1">
        <v>244</v>
      </c>
      <c r="I23" s="1">
        <v>4.8876000000000003E-2</v>
      </c>
      <c r="J23" s="1">
        <v>235</v>
      </c>
    </row>
    <row r="24" spans="1:10" x14ac:dyDescent="0.35">
      <c r="A24" s="1">
        <v>41</v>
      </c>
      <c r="B24" s="1">
        <v>4.57</v>
      </c>
      <c r="C24" s="1">
        <v>0.45700000000000002</v>
      </c>
      <c r="D24" s="1">
        <f t="shared" si="0"/>
        <v>0.91400000000000003</v>
      </c>
      <c r="E24" s="1">
        <v>15.6</v>
      </c>
      <c r="F24" s="1">
        <v>25.44</v>
      </c>
      <c r="G24" s="1">
        <v>3.14</v>
      </c>
      <c r="H24" s="1">
        <v>549</v>
      </c>
      <c r="I24" s="1">
        <v>9.5399999999999999E-4</v>
      </c>
      <c r="J24" s="1">
        <v>542</v>
      </c>
    </row>
    <row r="25" spans="1:10" x14ac:dyDescent="0.35">
      <c r="A25" s="1">
        <v>42</v>
      </c>
      <c r="B25" s="1">
        <v>3.05</v>
      </c>
      <c r="C25" s="1">
        <v>0.30499999999999999</v>
      </c>
      <c r="D25" s="1">
        <f t="shared" si="0"/>
        <v>0.61</v>
      </c>
      <c r="E25" s="1">
        <v>9.23</v>
      </c>
      <c r="F25" s="1">
        <v>17.14</v>
      </c>
      <c r="G25" s="1">
        <v>3.14</v>
      </c>
      <c r="H25" s="1">
        <v>152</v>
      </c>
      <c r="I25" s="1">
        <v>1.565E-3</v>
      </c>
      <c r="J25" s="1">
        <v>147</v>
      </c>
    </row>
    <row r="26" spans="1:10" x14ac:dyDescent="0.35">
      <c r="A26" s="1">
        <v>43</v>
      </c>
      <c r="B26" s="1">
        <v>1.83</v>
      </c>
      <c r="C26" s="1">
        <v>0.183</v>
      </c>
      <c r="D26" s="1">
        <f t="shared" si="0"/>
        <v>0.36599999999999999</v>
      </c>
      <c r="E26" s="1">
        <v>3.13</v>
      </c>
      <c r="F26" s="1">
        <v>28.55</v>
      </c>
      <c r="G26" s="1">
        <v>3.14</v>
      </c>
      <c r="H26" s="1">
        <v>96</v>
      </c>
      <c r="I26" s="1">
        <v>1E-4</v>
      </c>
      <c r="J26" s="1">
        <v>106</v>
      </c>
    </row>
    <row r="27" spans="1:10" x14ac:dyDescent="0.35">
      <c r="A27" s="1">
        <v>50</v>
      </c>
      <c r="B27" s="1">
        <v>50</v>
      </c>
      <c r="C27" s="1">
        <v>5</v>
      </c>
      <c r="D27" s="1">
        <f t="shared" si="0"/>
        <v>10</v>
      </c>
      <c r="E27" s="1">
        <v>0.25</v>
      </c>
      <c r="F27" s="1">
        <v>126</v>
      </c>
      <c r="G27" s="1">
        <v>3.14</v>
      </c>
      <c r="H27" s="1">
        <v>150</v>
      </c>
      <c r="I27" s="1">
        <v>2.2824000000000001E-2</v>
      </c>
      <c r="J27" s="1">
        <v>153</v>
      </c>
    </row>
    <row r="28" spans="1:10" x14ac:dyDescent="0.35">
      <c r="A28" s="1">
        <v>51</v>
      </c>
      <c r="B28" s="1">
        <v>50</v>
      </c>
      <c r="C28" s="1">
        <v>5</v>
      </c>
      <c r="D28" s="1">
        <f t="shared" si="0"/>
        <v>10</v>
      </c>
      <c r="E28" s="1">
        <v>0.4</v>
      </c>
      <c r="F28" s="1">
        <v>126</v>
      </c>
      <c r="G28" s="1">
        <v>3.14</v>
      </c>
      <c r="H28" s="1">
        <v>100</v>
      </c>
      <c r="I28" s="1">
        <v>2.7628E-2</v>
      </c>
      <c r="J28" s="1">
        <v>105</v>
      </c>
    </row>
    <row r="29" spans="1:10" x14ac:dyDescent="0.35">
      <c r="A29" s="1">
        <v>54</v>
      </c>
      <c r="B29" s="1">
        <v>5.5</v>
      </c>
      <c r="C29" s="1">
        <v>0.55000000000000004</v>
      </c>
      <c r="D29" s="1">
        <f t="shared" si="0"/>
        <v>1.1000000000000001</v>
      </c>
      <c r="E29" s="1">
        <v>33</v>
      </c>
      <c r="F29" s="1">
        <v>25</v>
      </c>
      <c r="G29" s="1">
        <v>3.14</v>
      </c>
      <c r="H29" s="1">
        <v>250</v>
      </c>
      <c r="I29" s="1">
        <v>2.1590000000000002E-2</v>
      </c>
      <c r="J29" s="1">
        <v>255</v>
      </c>
    </row>
    <row r="30" spans="1:10" x14ac:dyDescent="0.35">
      <c r="A30" s="1">
        <v>55</v>
      </c>
      <c r="B30" s="1">
        <v>3.7</v>
      </c>
      <c r="C30" s="1">
        <v>0.37</v>
      </c>
      <c r="D30" s="1">
        <f t="shared" si="0"/>
        <v>0.74</v>
      </c>
      <c r="E30" s="1">
        <v>123</v>
      </c>
      <c r="F30" s="1">
        <v>1402.6</v>
      </c>
      <c r="G30" s="1">
        <v>3.14</v>
      </c>
      <c r="H30" s="1">
        <v>200</v>
      </c>
      <c r="I30" s="1">
        <v>3.4400000000000001E-4</v>
      </c>
      <c r="J30" s="1">
        <v>192</v>
      </c>
    </row>
    <row r="31" spans="1:10" x14ac:dyDescent="0.35">
      <c r="A31" s="1">
        <v>56</v>
      </c>
      <c r="B31" s="1">
        <v>3</v>
      </c>
      <c r="C31" s="1">
        <v>0.3</v>
      </c>
      <c r="D31" s="1">
        <f t="shared" si="0"/>
        <v>0.6</v>
      </c>
      <c r="E31" s="1">
        <v>230</v>
      </c>
      <c r="F31" s="1">
        <v>655.9</v>
      </c>
      <c r="G31" s="1">
        <v>3.14</v>
      </c>
      <c r="H31" s="1">
        <v>500</v>
      </c>
      <c r="I31" s="1">
        <v>2.3000000000000001E-4</v>
      </c>
      <c r="J31" s="1">
        <v>499</v>
      </c>
    </row>
    <row r="32" spans="1:10" x14ac:dyDescent="0.35">
      <c r="D32" s="1"/>
    </row>
    <row r="35" spans="1:1" x14ac:dyDescent="0.35">
      <c r="A35" t="s">
        <v>1</v>
      </c>
    </row>
    <row r="36" spans="1:1" x14ac:dyDescent="0.35">
      <c r="A36" t="s">
        <v>347</v>
      </c>
    </row>
    <row r="37" spans="1:1" x14ac:dyDescent="0.35">
      <c r="A37" t="s">
        <v>348</v>
      </c>
    </row>
    <row r="38" spans="1:1" x14ac:dyDescent="0.35">
      <c r="A38" t="s">
        <v>349</v>
      </c>
    </row>
    <row r="39" spans="1:1" x14ac:dyDescent="0.35">
      <c r="A39" t="s">
        <v>350</v>
      </c>
    </row>
    <row r="40" spans="1:1" x14ac:dyDescent="0.35">
      <c r="A40" t="s">
        <v>351</v>
      </c>
    </row>
    <row r="41" spans="1:1" x14ac:dyDescent="0.35">
      <c r="A41" t="s">
        <v>352</v>
      </c>
    </row>
    <row r="42" spans="1:1" x14ac:dyDescent="0.35">
      <c r="A42" t="s">
        <v>353</v>
      </c>
    </row>
    <row r="43" spans="1:1" x14ac:dyDescent="0.35">
      <c r="A43" t="s">
        <v>354</v>
      </c>
    </row>
    <row r="44" spans="1:1" x14ac:dyDescent="0.35">
      <c r="A44" t="s">
        <v>355</v>
      </c>
    </row>
    <row r="45" spans="1:1" x14ac:dyDescent="0.35">
      <c r="A45" t="s">
        <v>356</v>
      </c>
    </row>
    <row r="46" spans="1:1" x14ac:dyDescent="0.35">
      <c r="A46" t="s">
        <v>357</v>
      </c>
    </row>
    <row r="47" spans="1:1" x14ac:dyDescent="0.35">
      <c r="A47" t="s">
        <v>358</v>
      </c>
    </row>
    <row r="48" spans="1:1" x14ac:dyDescent="0.35">
      <c r="A48" t="s">
        <v>359</v>
      </c>
    </row>
    <row r="49" spans="1:1" x14ac:dyDescent="0.35">
      <c r="A49" t="s">
        <v>360</v>
      </c>
    </row>
    <row r="50" spans="1:1" x14ac:dyDescent="0.35">
      <c r="A50" t="s">
        <v>361</v>
      </c>
    </row>
    <row r="51" spans="1:1" x14ac:dyDescent="0.35">
      <c r="A51" t="s">
        <v>362</v>
      </c>
    </row>
    <row r="52" spans="1:1" x14ac:dyDescent="0.35">
      <c r="A52" t="s">
        <v>363</v>
      </c>
    </row>
    <row r="53" spans="1:1" x14ac:dyDescent="0.35">
      <c r="A53" t="s">
        <v>364</v>
      </c>
    </row>
    <row r="54" spans="1:1" x14ac:dyDescent="0.35">
      <c r="A54" t="s">
        <v>365</v>
      </c>
    </row>
    <row r="55" spans="1:1" x14ac:dyDescent="0.35">
      <c r="A55" t="s">
        <v>366</v>
      </c>
    </row>
    <row r="56" spans="1:1" x14ac:dyDescent="0.35">
      <c r="A56" t="s">
        <v>367</v>
      </c>
    </row>
    <row r="57" spans="1:1" x14ac:dyDescent="0.35">
      <c r="A57" t="s">
        <v>368</v>
      </c>
    </row>
    <row r="58" spans="1:1" x14ac:dyDescent="0.35">
      <c r="A58" t="s">
        <v>369</v>
      </c>
    </row>
    <row r="59" spans="1:1" x14ac:dyDescent="0.35">
      <c r="A59" t="s">
        <v>370</v>
      </c>
    </row>
    <row r="60" spans="1:1" x14ac:dyDescent="0.35">
      <c r="A60" t="s">
        <v>371</v>
      </c>
    </row>
    <row r="61" spans="1:1" x14ac:dyDescent="0.35">
      <c r="A61" t="s">
        <v>372</v>
      </c>
    </row>
    <row r="62" spans="1:1" x14ac:dyDescent="0.35">
      <c r="A62" t="s">
        <v>373</v>
      </c>
    </row>
    <row r="63" spans="1:1" x14ac:dyDescent="0.35">
      <c r="A63" t="s">
        <v>374</v>
      </c>
    </row>
    <row r="64" spans="1:1" x14ac:dyDescent="0.35">
      <c r="A64" t="s">
        <v>375</v>
      </c>
    </row>
    <row r="65" spans="1:1" x14ac:dyDescent="0.35">
      <c r="A65" t="s">
        <v>376</v>
      </c>
    </row>
    <row r="66" spans="1:1" x14ac:dyDescent="0.35">
      <c r="A66" t="s">
        <v>377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1E0B9-FD5F-4F4F-AEC7-90F6B62BA36D}">
  <dimension ref="A1:J66"/>
  <sheetViews>
    <sheetView workbookViewId="0">
      <selection sqref="A1:XFD1"/>
    </sheetView>
  </sheetViews>
  <sheetFormatPr defaultRowHeight="14.5" x14ac:dyDescent="0.35"/>
  <cols>
    <col min="4" max="4" width="21.36328125" customWidth="1"/>
    <col min="9" max="9" width="12.81640625" customWidth="1"/>
  </cols>
  <sheetData>
    <row r="1" spans="1:10" x14ac:dyDescent="0.35">
      <c r="A1" s="2" t="s">
        <v>345</v>
      </c>
      <c r="B1" s="2" t="s">
        <v>344</v>
      </c>
      <c r="C1" s="2" t="s">
        <v>343</v>
      </c>
      <c r="D1" s="2" t="s">
        <v>572</v>
      </c>
      <c r="E1" s="2" t="s">
        <v>342</v>
      </c>
      <c r="F1" s="2" t="s">
        <v>341</v>
      </c>
      <c r="G1" s="2" t="s">
        <v>340</v>
      </c>
      <c r="H1" s="2" t="s">
        <v>339</v>
      </c>
      <c r="I1" s="2" t="s">
        <v>573</v>
      </c>
      <c r="J1" s="2" t="s">
        <v>338</v>
      </c>
    </row>
    <row r="2" spans="1:10" x14ac:dyDescent="0.35">
      <c r="A2" s="1">
        <v>2</v>
      </c>
      <c r="B2" s="1">
        <v>1.524</v>
      </c>
      <c r="C2" s="1">
        <v>0.38100000000000001</v>
      </c>
      <c r="D2" s="1">
        <f>2*C2</f>
        <v>0.76200000000000001</v>
      </c>
      <c r="E2" s="1">
        <v>28</v>
      </c>
      <c r="F2" s="1">
        <v>106.35</v>
      </c>
      <c r="G2" s="1">
        <v>3.14</v>
      </c>
      <c r="H2" s="1">
        <v>228.6</v>
      </c>
      <c r="I2" s="1">
        <v>5.8799999999999998E-4</v>
      </c>
      <c r="J2" s="1">
        <v>223</v>
      </c>
    </row>
    <row r="3" spans="1:10" x14ac:dyDescent="0.35">
      <c r="A3" s="1">
        <v>4</v>
      </c>
      <c r="B3" s="1">
        <v>3.048</v>
      </c>
      <c r="C3" s="1">
        <v>0.76200000000000001</v>
      </c>
      <c r="D3" s="1">
        <f t="shared" ref="D3:D37" si="0">2*C3</f>
        <v>1.524</v>
      </c>
      <c r="E3" s="1">
        <v>43.28</v>
      </c>
      <c r="F3" s="1">
        <v>103.4</v>
      </c>
      <c r="G3" s="1">
        <v>3.14</v>
      </c>
      <c r="H3" s="1">
        <v>213.36</v>
      </c>
      <c r="I3" s="1">
        <v>5.0229999999999997E-3</v>
      </c>
      <c r="J3" s="1">
        <v>223</v>
      </c>
    </row>
    <row r="4" spans="1:10" x14ac:dyDescent="0.35">
      <c r="A4" s="1">
        <v>5</v>
      </c>
      <c r="B4" s="1">
        <v>1.524</v>
      </c>
      <c r="C4" s="1">
        <v>0.38100000000000001</v>
      </c>
      <c r="D4" s="1">
        <f t="shared" si="0"/>
        <v>0.76200000000000001</v>
      </c>
      <c r="E4" s="1">
        <v>5.26</v>
      </c>
      <c r="F4" s="1">
        <v>19.79</v>
      </c>
      <c r="G4" s="1">
        <v>3.14</v>
      </c>
      <c r="H4" s="1">
        <v>259.08</v>
      </c>
      <c r="I4" s="1">
        <v>4.0499999999999998E-4</v>
      </c>
      <c r="J4" s="1">
        <v>255</v>
      </c>
    </row>
    <row r="5" spans="1:10" x14ac:dyDescent="0.35">
      <c r="A5" s="1">
        <v>6</v>
      </c>
      <c r="B5" s="1">
        <v>3.81</v>
      </c>
      <c r="C5" s="1">
        <v>0.95299999999999996</v>
      </c>
      <c r="D5" s="1">
        <f t="shared" si="0"/>
        <v>1.9059999999999999</v>
      </c>
      <c r="E5" s="1">
        <v>4.03</v>
      </c>
      <c r="F5" s="1">
        <v>35.049999999999997</v>
      </c>
      <c r="G5" s="1">
        <v>3.14</v>
      </c>
      <c r="H5" s="1">
        <v>91.44</v>
      </c>
      <c r="I5" s="1">
        <v>4.0489999999999996E-3</v>
      </c>
      <c r="J5" s="1">
        <v>84</v>
      </c>
    </row>
    <row r="6" spans="1:10" x14ac:dyDescent="0.35">
      <c r="A6" s="1">
        <v>8</v>
      </c>
      <c r="B6" s="1">
        <v>1.524</v>
      </c>
      <c r="C6" s="1">
        <v>0.38100000000000001</v>
      </c>
      <c r="D6" s="1">
        <f t="shared" si="0"/>
        <v>0.76200000000000001</v>
      </c>
      <c r="E6" s="1">
        <v>29.64</v>
      </c>
      <c r="F6" s="1">
        <v>113.77</v>
      </c>
      <c r="G6" s="1">
        <v>3.14</v>
      </c>
      <c r="H6" s="1">
        <v>76.2</v>
      </c>
      <c r="I6" s="1">
        <v>2.0530000000000001E-3</v>
      </c>
      <c r="J6" s="1">
        <v>79</v>
      </c>
    </row>
    <row r="7" spans="1:10" x14ac:dyDescent="0.35">
      <c r="A7" s="1">
        <v>10</v>
      </c>
      <c r="B7" s="1">
        <v>5.3339999999999996</v>
      </c>
      <c r="C7" s="1">
        <v>1.333</v>
      </c>
      <c r="D7" s="1">
        <f t="shared" si="0"/>
        <v>2.6659999999999999</v>
      </c>
      <c r="E7" s="1">
        <v>18.27</v>
      </c>
      <c r="F7" s="1">
        <v>87.41</v>
      </c>
      <c r="G7" s="1">
        <v>3.14</v>
      </c>
      <c r="H7" s="1">
        <v>350.52</v>
      </c>
      <c r="I7" s="1">
        <v>3.3180000000000002E-3</v>
      </c>
      <c r="J7" s="1">
        <v>352</v>
      </c>
    </row>
    <row r="8" spans="1:10" x14ac:dyDescent="0.35">
      <c r="A8" s="1">
        <v>13</v>
      </c>
      <c r="B8" s="1">
        <v>1.524</v>
      </c>
      <c r="C8" s="1">
        <v>0.38100000000000001</v>
      </c>
      <c r="D8" s="1">
        <f t="shared" si="0"/>
        <v>0.76200000000000001</v>
      </c>
      <c r="E8" s="1">
        <v>12.84</v>
      </c>
      <c r="F8" s="1">
        <v>29.26</v>
      </c>
      <c r="G8" s="1">
        <v>3.14</v>
      </c>
      <c r="H8" s="1">
        <v>109.72799999999999</v>
      </c>
      <c r="I8" s="1">
        <v>3.029E-3</v>
      </c>
      <c r="J8" s="1">
        <v>107</v>
      </c>
    </row>
    <row r="9" spans="1:10" x14ac:dyDescent="0.35">
      <c r="A9" s="1">
        <v>14</v>
      </c>
      <c r="B9" s="1">
        <v>3.81</v>
      </c>
      <c r="C9" s="1">
        <v>0.95299999999999996</v>
      </c>
      <c r="D9" s="1">
        <f t="shared" si="0"/>
        <v>1.9059999999999999</v>
      </c>
      <c r="E9" s="1">
        <v>8.18</v>
      </c>
      <c r="F9" s="1">
        <v>23.9</v>
      </c>
      <c r="G9" s="1">
        <v>3.14</v>
      </c>
      <c r="H9" s="1">
        <v>219.45599999999999</v>
      </c>
      <c r="I9" s="1">
        <v>5.0229999999999997E-3</v>
      </c>
      <c r="J9" s="1">
        <v>216</v>
      </c>
    </row>
    <row r="10" spans="1:10" x14ac:dyDescent="0.35">
      <c r="A10" s="1">
        <v>15</v>
      </c>
      <c r="B10" s="1">
        <v>1.524</v>
      </c>
      <c r="C10" s="1">
        <v>0.38100000000000001</v>
      </c>
      <c r="D10" s="1">
        <f t="shared" si="0"/>
        <v>0.76200000000000001</v>
      </c>
      <c r="E10" s="1">
        <v>13.8</v>
      </c>
      <c r="F10" s="1">
        <v>57.76</v>
      </c>
      <c r="G10" s="1">
        <v>3.14</v>
      </c>
      <c r="H10" s="1">
        <v>96.012</v>
      </c>
      <c r="I10" s="1">
        <v>1.3209999999999999E-3</v>
      </c>
      <c r="J10" s="1">
        <v>96</v>
      </c>
    </row>
    <row r="11" spans="1:10" x14ac:dyDescent="0.35">
      <c r="A11" s="1">
        <v>16</v>
      </c>
      <c r="B11" s="1">
        <v>3.048</v>
      </c>
      <c r="C11" s="1">
        <v>0.76200000000000001</v>
      </c>
      <c r="D11" s="1">
        <f t="shared" si="0"/>
        <v>1.524</v>
      </c>
      <c r="E11" s="1">
        <v>13.118</v>
      </c>
      <c r="F11" s="1">
        <v>77.8</v>
      </c>
      <c r="G11" s="1">
        <v>3.14</v>
      </c>
      <c r="H11" s="1">
        <v>53.34</v>
      </c>
      <c r="I11" s="4">
        <v>5.9979999999999999E-3</v>
      </c>
      <c r="J11" s="1">
        <v>61</v>
      </c>
    </row>
    <row r="12" spans="1:10" x14ac:dyDescent="0.35">
      <c r="A12" s="1">
        <v>17</v>
      </c>
      <c r="B12" s="1">
        <v>2.286</v>
      </c>
      <c r="C12" s="1">
        <v>0.57199999999999995</v>
      </c>
      <c r="D12" s="1">
        <f t="shared" si="0"/>
        <v>1.1439999999999999</v>
      </c>
      <c r="E12" s="1">
        <v>84.9</v>
      </c>
      <c r="F12" s="1">
        <v>97.662999999999997</v>
      </c>
      <c r="G12" s="1">
        <v>3.14</v>
      </c>
      <c r="H12" s="1">
        <v>128.01599999999999</v>
      </c>
      <c r="I12" s="1">
        <v>2.5488E-2</v>
      </c>
      <c r="J12" s="1">
        <v>137</v>
      </c>
    </row>
    <row r="13" spans="1:10" x14ac:dyDescent="0.35">
      <c r="A13" s="1">
        <v>19</v>
      </c>
      <c r="B13" s="1">
        <v>4.5720000000000001</v>
      </c>
      <c r="C13" s="1">
        <v>1.143</v>
      </c>
      <c r="D13" s="1">
        <f t="shared" si="0"/>
        <v>2.286</v>
      </c>
      <c r="E13" s="1">
        <v>49.3</v>
      </c>
      <c r="F13" s="1">
        <v>107.76</v>
      </c>
      <c r="G13" s="1">
        <v>3.14</v>
      </c>
      <c r="H13" s="1">
        <v>192.024</v>
      </c>
      <c r="I13" s="1">
        <v>1.5743E-2</v>
      </c>
      <c r="J13" s="1">
        <v>199</v>
      </c>
    </row>
    <row r="14" spans="1:10" x14ac:dyDescent="0.35">
      <c r="A14" s="1">
        <v>20</v>
      </c>
      <c r="B14" s="1">
        <v>1.524</v>
      </c>
      <c r="C14" s="1">
        <v>0.38100000000000001</v>
      </c>
      <c r="D14" s="1">
        <f t="shared" si="0"/>
        <v>0.76200000000000001</v>
      </c>
      <c r="E14" s="1">
        <v>90.21</v>
      </c>
      <c r="F14" s="1">
        <v>90.19</v>
      </c>
      <c r="G14" s="1">
        <v>3.14</v>
      </c>
      <c r="H14" s="1">
        <v>60.96</v>
      </c>
      <c r="I14" s="1">
        <v>0.125087</v>
      </c>
      <c r="J14" s="1">
        <v>53</v>
      </c>
    </row>
    <row r="15" spans="1:10" x14ac:dyDescent="0.35">
      <c r="A15" s="1">
        <v>22</v>
      </c>
      <c r="B15" s="1">
        <v>2.286</v>
      </c>
      <c r="C15" s="1">
        <v>0.57199999999999995</v>
      </c>
      <c r="D15" s="1">
        <f t="shared" si="0"/>
        <v>1.1439999999999999</v>
      </c>
      <c r="E15" s="1">
        <v>20.95</v>
      </c>
      <c r="F15" s="1">
        <v>25.72</v>
      </c>
      <c r="G15" s="1">
        <v>3.14</v>
      </c>
      <c r="H15" s="1">
        <v>106.68</v>
      </c>
      <c r="I15" s="1">
        <v>2.5488E-2</v>
      </c>
      <c r="J15" s="1">
        <v>110</v>
      </c>
    </row>
    <row r="16" spans="1:10" x14ac:dyDescent="0.35">
      <c r="A16" s="1">
        <v>23</v>
      </c>
      <c r="B16" s="1">
        <v>11</v>
      </c>
      <c r="C16" s="1">
        <v>2.75</v>
      </c>
      <c r="D16" s="1">
        <f t="shared" si="0"/>
        <v>5.5</v>
      </c>
      <c r="E16" s="1">
        <v>4.2460000000000004</v>
      </c>
      <c r="F16" s="1">
        <v>63</v>
      </c>
      <c r="G16" s="1">
        <v>3.14</v>
      </c>
      <c r="H16" s="1">
        <v>420</v>
      </c>
      <c r="I16" s="1">
        <v>5.0720000000000001E-3</v>
      </c>
      <c r="J16" s="1">
        <v>416</v>
      </c>
    </row>
    <row r="17" spans="1:10" x14ac:dyDescent="0.35">
      <c r="A17" s="1">
        <v>26</v>
      </c>
      <c r="B17" s="1">
        <v>4.2671999999999999</v>
      </c>
      <c r="C17" s="1">
        <v>1.0669999999999999</v>
      </c>
      <c r="D17" s="1">
        <f t="shared" si="0"/>
        <v>2.1339999999999999</v>
      </c>
      <c r="E17" s="1">
        <v>25.4</v>
      </c>
      <c r="F17" s="1">
        <v>24.5</v>
      </c>
      <c r="G17" s="1">
        <v>3.14</v>
      </c>
      <c r="H17" s="1">
        <v>71.3232</v>
      </c>
      <c r="I17" s="4">
        <v>1</v>
      </c>
      <c r="J17" s="1">
        <v>72</v>
      </c>
    </row>
    <row r="18" spans="1:10" x14ac:dyDescent="0.35">
      <c r="A18" s="1">
        <v>29</v>
      </c>
      <c r="B18" s="1">
        <v>1.0669999999999999</v>
      </c>
      <c r="C18" s="1">
        <v>0.26700000000000002</v>
      </c>
      <c r="D18" s="1">
        <f t="shared" si="0"/>
        <v>0.53400000000000003</v>
      </c>
      <c r="E18" s="1">
        <v>3.57</v>
      </c>
      <c r="F18" s="1">
        <v>3.88</v>
      </c>
      <c r="G18" s="1">
        <v>3.14</v>
      </c>
      <c r="H18" s="1">
        <v>57.302399999999999</v>
      </c>
      <c r="I18" s="1">
        <v>6.2593999999999997E-2</v>
      </c>
      <c r="J18" s="1">
        <v>57</v>
      </c>
    </row>
    <row r="19" spans="1:10" x14ac:dyDescent="0.35">
      <c r="A19" s="1">
        <v>30</v>
      </c>
      <c r="B19" s="1">
        <v>1.5249999999999999</v>
      </c>
      <c r="C19" s="1">
        <v>0.38100000000000001</v>
      </c>
      <c r="D19" s="1">
        <f t="shared" si="0"/>
        <v>0.76200000000000001</v>
      </c>
      <c r="E19" s="1">
        <v>5.22</v>
      </c>
      <c r="F19" s="1">
        <v>27.61</v>
      </c>
      <c r="G19" s="1">
        <v>3.14</v>
      </c>
      <c r="H19" s="1">
        <v>152</v>
      </c>
      <c r="I19" s="1">
        <v>5.8799999999999998E-4</v>
      </c>
      <c r="J19" s="1">
        <v>145</v>
      </c>
    </row>
    <row r="20" spans="1:10" x14ac:dyDescent="0.35">
      <c r="A20" s="1">
        <v>31</v>
      </c>
      <c r="B20" s="1">
        <v>4.57</v>
      </c>
      <c r="C20" s="1">
        <v>1.143</v>
      </c>
      <c r="D20" s="1">
        <f t="shared" si="0"/>
        <v>2.286</v>
      </c>
      <c r="E20" s="1">
        <v>9.23</v>
      </c>
      <c r="F20" s="1">
        <v>14.71</v>
      </c>
      <c r="G20" s="1">
        <v>3.14</v>
      </c>
      <c r="H20" s="1">
        <v>366</v>
      </c>
      <c r="I20" s="1">
        <v>1.2819000000000001E-2</v>
      </c>
      <c r="J20" s="1">
        <v>361</v>
      </c>
    </row>
    <row r="21" spans="1:10" x14ac:dyDescent="0.35">
      <c r="A21" s="1">
        <v>34</v>
      </c>
      <c r="B21" s="1">
        <v>1.5249999999999999</v>
      </c>
      <c r="C21" s="1">
        <v>0.38100000000000001</v>
      </c>
      <c r="D21" s="1">
        <f t="shared" si="0"/>
        <v>0.76200000000000001</v>
      </c>
      <c r="E21" s="1">
        <v>48.65</v>
      </c>
      <c r="F21" s="1">
        <v>47.59</v>
      </c>
      <c r="G21" s="1">
        <v>3.14</v>
      </c>
      <c r="H21" s="1">
        <v>85</v>
      </c>
      <c r="I21" s="1">
        <v>0.125087</v>
      </c>
      <c r="J21" s="1">
        <v>84</v>
      </c>
    </row>
    <row r="22" spans="1:10" x14ac:dyDescent="0.35">
      <c r="A22" s="1">
        <v>35</v>
      </c>
      <c r="B22" s="1">
        <v>5.335</v>
      </c>
      <c r="C22" s="1">
        <v>1.3340000000000001</v>
      </c>
      <c r="D22" s="1">
        <f t="shared" si="0"/>
        <v>2.6680000000000001</v>
      </c>
      <c r="E22" s="1">
        <v>18.27</v>
      </c>
      <c r="F22" s="1">
        <v>25.45</v>
      </c>
      <c r="G22" s="1">
        <v>3.14</v>
      </c>
      <c r="H22" s="1">
        <v>229</v>
      </c>
      <c r="I22" s="1">
        <v>9.5653000000000002E-2</v>
      </c>
      <c r="J22" s="1">
        <v>219</v>
      </c>
    </row>
    <row r="23" spans="1:10" x14ac:dyDescent="0.35">
      <c r="A23" s="1">
        <v>36</v>
      </c>
      <c r="B23" s="1">
        <v>4.57</v>
      </c>
      <c r="C23" s="1">
        <v>1.143</v>
      </c>
      <c r="D23" s="1">
        <f t="shared" si="0"/>
        <v>2.286</v>
      </c>
      <c r="E23" s="1">
        <v>3.23</v>
      </c>
      <c r="F23" s="1">
        <v>41.2</v>
      </c>
      <c r="G23" s="1">
        <v>3.14</v>
      </c>
      <c r="H23" s="1">
        <v>198</v>
      </c>
      <c r="I23" s="1">
        <v>2.5869999999999999E-3</v>
      </c>
      <c r="J23" s="1">
        <v>206</v>
      </c>
    </row>
    <row r="24" spans="1:10" x14ac:dyDescent="0.35">
      <c r="A24" s="1">
        <v>37</v>
      </c>
      <c r="B24" s="1">
        <v>7.62</v>
      </c>
      <c r="C24" s="1">
        <v>1.905</v>
      </c>
      <c r="D24" s="1">
        <f t="shared" si="0"/>
        <v>3.81</v>
      </c>
      <c r="E24" s="1">
        <v>6.01</v>
      </c>
      <c r="F24" s="1">
        <v>31.84</v>
      </c>
      <c r="G24" s="1">
        <v>3.14</v>
      </c>
      <c r="H24" s="1">
        <v>853</v>
      </c>
      <c r="I24" s="1">
        <v>2.343E-3</v>
      </c>
      <c r="J24" s="1">
        <v>860</v>
      </c>
    </row>
    <row r="25" spans="1:10" x14ac:dyDescent="0.35">
      <c r="A25" s="1">
        <v>39</v>
      </c>
      <c r="B25" s="1">
        <v>1.22</v>
      </c>
      <c r="C25" s="1">
        <v>0.30499999999999999</v>
      </c>
      <c r="D25" s="1">
        <f t="shared" si="0"/>
        <v>0.61</v>
      </c>
      <c r="E25" s="1">
        <v>13.8</v>
      </c>
      <c r="F25" s="1">
        <v>36.24</v>
      </c>
      <c r="G25" s="1">
        <v>3.14</v>
      </c>
      <c r="H25" s="1">
        <v>64</v>
      </c>
      <c r="I25" s="1">
        <v>3.029E-3</v>
      </c>
      <c r="J25" s="1">
        <v>63</v>
      </c>
    </row>
    <row r="26" spans="1:10" x14ac:dyDescent="0.35">
      <c r="A26" s="1">
        <v>40</v>
      </c>
      <c r="B26" s="1">
        <v>8.3800000000000008</v>
      </c>
      <c r="C26" s="1">
        <v>2.0950000000000002</v>
      </c>
      <c r="D26" s="1">
        <f t="shared" si="0"/>
        <v>4.1900000000000004</v>
      </c>
      <c r="E26" s="1">
        <v>32.56</v>
      </c>
      <c r="F26" s="1">
        <v>25.97</v>
      </c>
      <c r="G26" s="1">
        <v>3.14</v>
      </c>
      <c r="H26" s="1">
        <v>244</v>
      </c>
      <c r="I26" s="1">
        <v>0.43868099999999999</v>
      </c>
      <c r="J26" s="1">
        <v>245</v>
      </c>
    </row>
    <row r="27" spans="1:10" x14ac:dyDescent="0.35">
      <c r="A27" s="1">
        <v>41</v>
      </c>
      <c r="B27" s="1">
        <v>4.57</v>
      </c>
      <c r="C27" s="1">
        <v>1.143</v>
      </c>
      <c r="D27" s="1">
        <f t="shared" si="0"/>
        <v>2.286</v>
      </c>
      <c r="E27" s="1">
        <v>15.6</v>
      </c>
      <c r="F27" s="1">
        <v>25.44</v>
      </c>
      <c r="G27" s="1">
        <v>3.14</v>
      </c>
      <c r="H27" s="1">
        <v>549</v>
      </c>
      <c r="I27" s="4">
        <v>5.9979999999999999E-3</v>
      </c>
      <c r="J27" s="1">
        <v>555</v>
      </c>
    </row>
    <row r="28" spans="1:10" x14ac:dyDescent="0.35">
      <c r="A28" s="1">
        <v>42</v>
      </c>
      <c r="B28" s="1">
        <v>3.05</v>
      </c>
      <c r="C28" s="1">
        <v>0.76200000000000001</v>
      </c>
      <c r="D28" s="1">
        <f t="shared" si="0"/>
        <v>1.524</v>
      </c>
      <c r="E28" s="1">
        <v>9.23</v>
      </c>
      <c r="F28" s="1">
        <v>17.14</v>
      </c>
      <c r="G28" s="1">
        <v>3.14</v>
      </c>
      <c r="H28" s="1">
        <v>152</v>
      </c>
      <c r="I28" s="3">
        <v>9.8960000000000003E-3</v>
      </c>
      <c r="J28" s="1">
        <v>153</v>
      </c>
    </row>
    <row r="29" spans="1:10" x14ac:dyDescent="0.35">
      <c r="A29" s="1">
        <v>43</v>
      </c>
      <c r="B29" s="1">
        <v>1.83</v>
      </c>
      <c r="C29" s="1">
        <v>0.45800000000000002</v>
      </c>
      <c r="D29" s="1">
        <f t="shared" si="0"/>
        <v>0.91600000000000004</v>
      </c>
      <c r="E29" s="1">
        <v>3.13</v>
      </c>
      <c r="F29" s="1">
        <v>28.55</v>
      </c>
      <c r="G29" s="1">
        <v>3.14</v>
      </c>
      <c r="H29" s="1">
        <v>96</v>
      </c>
      <c r="I29" s="3">
        <v>7.1000000000000002E-4</v>
      </c>
      <c r="J29" s="1">
        <v>95</v>
      </c>
    </row>
    <row r="30" spans="1:10" x14ac:dyDescent="0.35">
      <c r="A30" s="1">
        <v>46</v>
      </c>
      <c r="B30" s="1">
        <v>6</v>
      </c>
      <c r="C30" s="1">
        <v>1.5</v>
      </c>
      <c r="D30" s="1">
        <f t="shared" si="0"/>
        <v>3</v>
      </c>
      <c r="E30" s="1">
        <v>1.3</v>
      </c>
      <c r="F30" s="1">
        <v>86</v>
      </c>
      <c r="G30" s="1">
        <v>3.14</v>
      </c>
      <c r="H30" s="1">
        <v>120</v>
      </c>
      <c r="I30" s="3">
        <v>2.0999999999999999E-3</v>
      </c>
      <c r="J30" s="1">
        <v>128</v>
      </c>
    </row>
    <row r="31" spans="1:10" x14ac:dyDescent="0.35">
      <c r="A31" s="1">
        <v>47</v>
      </c>
      <c r="B31" s="1">
        <v>6</v>
      </c>
      <c r="C31" s="1">
        <v>1.5</v>
      </c>
      <c r="D31" s="1">
        <f t="shared" si="0"/>
        <v>3</v>
      </c>
      <c r="E31" s="1">
        <v>2.4</v>
      </c>
      <c r="F31" s="1">
        <v>92</v>
      </c>
      <c r="G31" s="1">
        <v>3.14</v>
      </c>
      <c r="H31" s="1">
        <v>90</v>
      </c>
      <c r="I31" s="1">
        <v>5.9979999999999999E-3</v>
      </c>
      <c r="J31" s="1">
        <v>86</v>
      </c>
    </row>
    <row r="32" spans="1:10" x14ac:dyDescent="0.35">
      <c r="A32" s="1">
        <v>48</v>
      </c>
      <c r="B32" s="1">
        <v>6</v>
      </c>
      <c r="C32" s="1">
        <v>1.5</v>
      </c>
      <c r="D32" s="1">
        <f t="shared" si="0"/>
        <v>3</v>
      </c>
      <c r="E32" s="1">
        <v>1.4</v>
      </c>
      <c r="F32" s="1">
        <v>92</v>
      </c>
      <c r="G32" s="1">
        <v>3.14</v>
      </c>
      <c r="H32" s="1">
        <v>60</v>
      </c>
      <c r="I32" s="1">
        <v>5.9979999999999999E-3</v>
      </c>
      <c r="J32" s="1">
        <v>58</v>
      </c>
    </row>
    <row r="33" spans="1:10" x14ac:dyDescent="0.35">
      <c r="A33" s="1">
        <v>49</v>
      </c>
      <c r="B33" s="1">
        <v>6</v>
      </c>
      <c r="C33" s="1">
        <v>1.5</v>
      </c>
      <c r="D33" s="1">
        <f t="shared" si="0"/>
        <v>3</v>
      </c>
      <c r="E33" s="1">
        <v>0.7</v>
      </c>
      <c r="F33" s="1">
        <v>92</v>
      </c>
      <c r="G33" s="1">
        <v>3.14</v>
      </c>
      <c r="H33" s="1">
        <v>90</v>
      </c>
      <c r="I33" s="1">
        <v>2.5869999999999999E-3</v>
      </c>
      <c r="J33" s="1">
        <v>86</v>
      </c>
    </row>
    <row r="34" spans="1:10" x14ac:dyDescent="0.35">
      <c r="A34" s="1">
        <v>51</v>
      </c>
      <c r="B34" s="1">
        <v>50</v>
      </c>
      <c r="C34" s="1">
        <v>12.5</v>
      </c>
      <c r="D34" s="1">
        <f t="shared" si="0"/>
        <v>25</v>
      </c>
      <c r="E34" s="1">
        <v>0.4</v>
      </c>
      <c r="F34" s="1">
        <v>126</v>
      </c>
      <c r="G34" s="1">
        <v>3.14</v>
      </c>
      <c r="H34" s="1">
        <v>100</v>
      </c>
      <c r="I34" s="1">
        <v>0.53804600000000002</v>
      </c>
      <c r="J34" s="1">
        <v>46</v>
      </c>
    </row>
    <row r="35" spans="1:10" x14ac:dyDescent="0.35">
      <c r="A35" s="1">
        <v>52</v>
      </c>
      <c r="B35" s="1">
        <v>7.5</v>
      </c>
      <c r="C35" s="1">
        <v>1.875</v>
      </c>
      <c r="D35" s="1">
        <f t="shared" si="0"/>
        <v>3.75</v>
      </c>
      <c r="E35" s="1">
        <v>0.31</v>
      </c>
      <c r="F35" s="1">
        <v>203</v>
      </c>
      <c r="G35" s="1">
        <v>3.14</v>
      </c>
      <c r="H35" s="1">
        <v>160</v>
      </c>
      <c r="I35" s="3">
        <v>2.0999999999999999E-3</v>
      </c>
      <c r="J35" s="1">
        <v>160</v>
      </c>
    </row>
    <row r="36" spans="1:10" x14ac:dyDescent="0.35">
      <c r="A36" s="1">
        <v>54</v>
      </c>
      <c r="B36" s="1">
        <v>5.5</v>
      </c>
      <c r="C36" s="1">
        <v>1.375</v>
      </c>
      <c r="D36" s="1">
        <f t="shared" si="0"/>
        <v>2.75</v>
      </c>
      <c r="E36" s="1">
        <v>33</v>
      </c>
      <c r="F36" s="1">
        <v>25</v>
      </c>
      <c r="G36" s="1">
        <v>3.14</v>
      </c>
      <c r="H36" s="1">
        <v>250</v>
      </c>
      <c r="I36" s="1">
        <v>0.18920600000000001</v>
      </c>
      <c r="J36" s="1">
        <v>250</v>
      </c>
    </row>
    <row r="37" spans="1:10" x14ac:dyDescent="0.35">
      <c r="A37" s="1">
        <v>55</v>
      </c>
      <c r="B37" s="1">
        <v>3.7</v>
      </c>
      <c r="C37" s="1">
        <v>0.92500000000000004</v>
      </c>
      <c r="D37" s="1">
        <f t="shared" si="0"/>
        <v>1.85</v>
      </c>
      <c r="E37" s="1">
        <v>123</v>
      </c>
      <c r="F37" s="1">
        <v>1402.6</v>
      </c>
      <c r="G37" s="1">
        <v>3.14</v>
      </c>
      <c r="H37" s="1">
        <v>200</v>
      </c>
      <c r="I37" s="3">
        <v>2.0999999999999999E-3</v>
      </c>
      <c r="J37" s="1">
        <v>200</v>
      </c>
    </row>
    <row r="41" spans="1:10" x14ac:dyDescent="0.35">
      <c r="A41" t="s">
        <v>1</v>
      </c>
    </row>
    <row r="42" spans="1:10" x14ac:dyDescent="0.35">
      <c r="A42" t="s">
        <v>378</v>
      </c>
    </row>
    <row r="43" spans="1:10" x14ac:dyDescent="0.35">
      <c r="A43" t="s">
        <v>379</v>
      </c>
    </row>
    <row r="44" spans="1:10" x14ac:dyDescent="0.35">
      <c r="A44" t="s">
        <v>380</v>
      </c>
    </row>
    <row r="45" spans="1:10" x14ac:dyDescent="0.35">
      <c r="A45" t="s">
        <v>381</v>
      </c>
    </row>
    <row r="46" spans="1:10" x14ac:dyDescent="0.35">
      <c r="A46" t="s">
        <v>382</v>
      </c>
    </row>
    <row r="47" spans="1:10" x14ac:dyDescent="0.35">
      <c r="A47" t="s">
        <v>383</v>
      </c>
    </row>
    <row r="48" spans="1:10" x14ac:dyDescent="0.35">
      <c r="A48" t="s">
        <v>384</v>
      </c>
    </row>
    <row r="49" spans="1:1" x14ac:dyDescent="0.35">
      <c r="A49" t="s">
        <v>385</v>
      </c>
    </row>
    <row r="50" spans="1:1" x14ac:dyDescent="0.35">
      <c r="A50" t="s">
        <v>386</v>
      </c>
    </row>
    <row r="51" spans="1:1" x14ac:dyDescent="0.35">
      <c r="A51" t="s">
        <v>387</v>
      </c>
    </row>
    <row r="52" spans="1:1" x14ac:dyDescent="0.35">
      <c r="A52" t="s">
        <v>388</v>
      </c>
    </row>
    <row r="53" spans="1:1" x14ac:dyDescent="0.35">
      <c r="A53" t="s">
        <v>389</v>
      </c>
    </row>
    <row r="54" spans="1:1" x14ac:dyDescent="0.35">
      <c r="A54" t="s">
        <v>390</v>
      </c>
    </row>
    <row r="55" spans="1:1" x14ac:dyDescent="0.35">
      <c r="A55" t="s">
        <v>391</v>
      </c>
    </row>
    <row r="56" spans="1:1" x14ac:dyDescent="0.35">
      <c r="A56" t="s">
        <v>392</v>
      </c>
    </row>
    <row r="57" spans="1:1" x14ac:dyDescent="0.35">
      <c r="A57" t="s">
        <v>393</v>
      </c>
    </row>
    <row r="58" spans="1:1" x14ac:dyDescent="0.35">
      <c r="A58" t="s">
        <v>394</v>
      </c>
    </row>
    <row r="59" spans="1:1" x14ac:dyDescent="0.35">
      <c r="A59" t="s">
        <v>395</v>
      </c>
    </row>
    <row r="60" spans="1:1" x14ac:dyDescent="0.35">
      <c r="A60" t="s">
        <v>396</v>
      </c>
    </row>
    <row r="61" spans="1:1" x14ac:dyDescent="0.35">
      <c r="A61" t="s">
        <v>397</v>
      </c>
    </row>
    <row r="62" spans="1:1" x14ac:dyDescent="0.35">
      <c r="A62" t="s">
        <v>398</v>
      </c>
    </row>
    <row r="63" spans="1:1" x14ac:dyDescent="0.35">
      <c r="A63" t="s">
        <v>399</v>
      </c>
    </row>
    <row r="64" spans="1:1" x14ac:dyDescent="0.35">
      <c r="A64" t="s">
        <v>400</v>
      </c>
    </row>
    <row r="65" spans="1:1" x14ac:dyDescent="0.35">
      <c r="A65" t="s">
        <v>401</v>
      </c>
    </row>
    <row r="66" spans="1:1" x14ac:dyDescent="0.35">
      <c r="A66" t="s">
        <v>402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F46C8-BF2C-4DA4-B3B2-B31ABFE6A308}">
  <dimension ref="A1:J67"/>
  <sheetViews>
    <sheetView workbookViewId="0">
      <selection activeCell="L9" sqref="L9"/>
    </sheetView>
  </sheetViews>
  <sheetFormatPr defaultRowHeight="14.5" x14ac:dyDescent="0.35"/>
  <cols>
    <col min="4" max="4" width="28.08984375" customWidth="1"/>
    <col min="9" max="9" width="15.453125" customWidth="1"/>
  </cols>
  <sheetData>
    <row r="1" spans="1:10" x14ac:dyDescent="0.35">
      <c r="A1" s="2" t="s">
        <v>345</v>
      </c>
      <c r="B1" s="2" t="s">
        <v>344</v>
      </c>
      <c r="C1" s="2" t="s">
        <v>343</v>
      </c>
      <c r="D1" s="2" t="s">
        <v>572</v>
      </c>
      <c r="E1" s="2" t="s">
        <v>342</v>
      </c>
      <c r="F1" s="2" t="s">
        <v>341</v>
      </c>
      <c r="G1" s="2" t="s">
        <v>340</v>
      </c>
      <c r="H1" s="2" t="s">
        <v>339</v>
      </c>
      <c r="I1" s="2" t="s">
        <v>573</v>
      </c>
      <c r="J1" s="2" t="s">
        <v>338</v>
      </c>
    </row>
    <row r="2" spans="1:10" x14ac:dyDescent="0.35">
      <c r="A2" s="1">
        <v>1</v>
      </c>
      <c r="B2" s="1">
        <v>4.5720000000000001</v>
      </c>
      <c r="C2" s="1">
        <v>2.286</v>
      </c>
      <c r="D2" s="1">
        <f>2*C2</f>
        <v>4.5720000000000001</v>
      </c>
      <c r="E2" s="1">
        <v>3.55</v>
      </c>
      <c r="F2" s="1">
        <v>37.67</v>
      </c>
      <c r="G2" s="1">
        <v>3.14</v>
      </c>
      <c r="H2" s="1">
        <v>274.32</v>
      </c>
      <c r="I2" s="1">
        <v>5.3150000000000003E-3</v>
      </c>
      <c r="J2" s="1">
        <v>272</v>
      </c>
    </row>
    <row r="3" spans="1:10" x14ac:dyDescent="0.35">
      <c r="A3" s="1">
        <v>2</v>
      </c>
      <c r="B3" s="1">
        <v>1.524</v>
      </c>
      <c r="C3" s="1">
        <v>0.76200000000000001</v>
      </c>
      <c r="D3" s="1">
        <f t="shared" ref="D3:D40" si="0">2*C3</f>
        <v>1.524</v>
      </c>
      <c r="E3" s="1">
        <v>28</v>
      </c>
      <c r="F3" s="1">
        <v>106.35</v>
      </c>
      <c r="G3" s="1">
        <v>3.14</v>
      </c>
      <c r="H3" s="1">
        <v>228.6</v>
      </c>
      <c r="I3" s="1">
        <v>2.343E-3</v>
      </c>
      <c r="J3" s="1">
        <v>227</v>
      </c>
    </row>
    <row r="4" spans="1:10" x14ac:dyDescent="0.35">
      <c r="A4" s="1">
        <v>4</v>
      </c>
      <c r="B4" s="1">
        <v>3.048</v>
      </c>
      <c r="C4" s="1">
        <v>1.524</v>
      </c>
      <c r="D4" s="1">
        <f t="shared" si="0"/>
        <v>3.048</v>
      </c>
      <c r="E4" s="1">
        <v>43.28</v>
      </c>
      <c r="F4" s="1">
        <v>103.4</v>
      </c>
      <c r="G4" s="1">
        <v>3.14</v>
      </c>
      <c r="H4" s="1">
        <v>213.36</v>
      </c>
      <c r="I4" s="1">
        <v>2.1590000000000002E-2</v>
      </c>
      <c r="J4" s="1">
        <v>221</v>
      </c>
    </row>
    <row r="5" spans="1:10" x14ac:dyDescent="0.35">
      <c r="A5" s="1">
        <v>6</v>
      </c>
      <c r="B5" s="1">
        <v>3.81</v>
      </c>
      <c r="C5" s="1">
        <v>1.905</v>
      </c>
      <c r="D5" s="1">
        <f t="shared" si="0"/>
        <v>3.81</v>
      </c>
      <c r="E5" s="1">
        <v>4.03</v>
      </c>
      <c r="F5" s="1">
        <v>35.049999999999997</v>
      </c>
      <c r="G5" s="1">
        <v>3.14</v>
      </c>
      <c r="H5" s="1">
        <v>91.44</v>
      </c>
      <c r="I5" s="1">
        <v>1.3794000000000001E-2</v>
      </c>
      <c r="J5" s="1">
        <v>100</v>
      </c>
    </row>
    <row r="6" spans="1:10" x14ac:dyDescent="0.35">
      <c r="A6" s="1">
        <v>8</v>
      </c>
      <c r="B6" s="1">
        <v>1.524</v>
      </c>
      <c r="C6" s="1">
        <v>0.76200000000000001</v>
      </c>
      <c r="D6" s="1">
        <f t="shared" si="0"/>
        <v>1.524</v>
      </c>
      <c r="E6" s="1">
        <v>29.64</v>
      </c>
      <c r="F6" s="1">
        <v>113.77</v>
      </c>
      <c r="G6" s="1">
        <v>3.14</v>
      </c>
      <c r="H6" s="1">
        <v>76.2</v>
      </c>
      <c r="I6" s="1">
        <v>9.8960000000000003E-3</v>
      </c>
      <c r="J6" s="1">
        <v>71</v>
      </c>
    </row>
    <row r="7" spans="1:10" x14ac:dyDescent="0.35">
      <c r="A7" s="1">
        <v>9</v>
      </c>
      <c r="B7" s="1">
        <v>3.81</v>
      </c>
      <c r="C7" s="1">
        <v>1.905</v>
      </c>
      <c r="D7" s="1">
        <f t="shared" si="0"/>
        <v>3.81</v>
      </c>
      <c r="E7" s="1">
        <v>0.68</v>
      </c>
      <c r="F7" s="1">
        <v>68.94</v>
      </c>
      <c r="G7" s="1">
        <v>3.14</v>
      </c>
      <c r="H7" s="1">
        <v>106.68</v>
      </c>
      <c r="I7" s="1">
        <v>3.0739999999999999E-3</v>
      </c>
      <c r="J7" s="1">
        <v>102</v>
      </c>
    </row>
    <row r="8" spans="1:10" x14ac:dyDescent="0.35">
      <c r="A8" s="1">
        <v>10</v>
      </c>
      <c r="B8" s="1">
        <v>5.3339999999999996</v>
      </c>
      <c r="C8" s="1">
        <v>2.6669999999999998</v>
      </c>
      <c r="D8" s="1">
        <f t="shared" si="0"/>
        <v>5.3339999999999996</v>
      </c>
      <c r="E8" s="1">
        <v>18.27</v>
      </c>
      <c r="F8" s="1">
        <v>87.41</v>
      </c>
      <c r="G8" s="1">
        <v>3.14</v>
      </c>
      <c r="H8" s="1">
        <v>350.52</v>
      </c>
      <c r="I8" s="1">
        <v>1.3825E-2</v>
      </c>
      <c r="J8" s="1">
        <v>350</v>
      </c>
    </row>
    <row r="9" spans="1:10" x14ac:dyDescent="0.35">
      <c r="A9" s="1">
        <v>13</v>
      </c>
      <c r="B9" s="1">
        <v>1.524</v>
      </c>
      <c r="C9" s="1">
        <v>0.76200000000000001</v>
      </c>
      <c r="D9" s="1">
        <f t="shared" si="0"/>
        <v>1.524</v>
      </c>
      <c r="E9" s="1">
        <v>12.84</v>
      </c>
      <c r="F9" s="1">
        <v>29.26</v>
      </c>
      <c r="G9" s="1">
        <v>3.14</v>
      </c>
      <c r="H9" s="1">
        <v>109.72799999999999</v>
      </c>
      <c r="I9" s="1">
        <v>1.3794000000000001E-2</v>
      </c>
      <c r="J9" s="1">
        <v>102</v>
      </c>
    </row>
    <row r="10" spans="1:10" x14ac:dyDescent="0.35">
      <c r="A10" s="1">
        <v>14</v>
      </c>
      <c r="B10" s="1">
        <v>3.81</v>
      </c>
      <c r="C10" s="1">
        <v>1.905</v>
      </c>
      <c r="D10" s="1">
        <f t="shared" si="0"/>
        <v>3.81</v>
      </c>
      <c r="E10" s="1">
        <v>8.18</v>
      </c>
      <c r="F10" s="1">
        <v>23.9</v>
      </c>
      <c r="G10" s="1">
        <v>3.14</v>
      </c>
      <c r="H10" s="1">
        <v>219.45599999999999</v>
      </c>
      <c r="I10" s="1">
        <v>2.1590000000000002E-2</v>
      </c>
      <c r="J10" s="1">
        <v>213</v>
      </c>
    </row>
    <row r="11" spans="1:10" x14ac:dyDescent="0.35">
      <c r="A11" s="1">
        <v>15</v>
      </c>
      <c r="B11" s="1">
        <v>1.524</v>
      </c>
      <c r="C11" s="1">
        <v>0.76200000000000001</v>
      </c>
      <c r="D11" s="1">
        <f t="shared" si="0"/>
        <v>1.524</v>
      </c>
      <c r="E11" s="1">
        <v>13.8</v>
      </c>
      <c r="F11" s="1">
        <v>57.76</v>
      </c>
      <c r="G11" s="1">
        <v>3.14</v>
      </c>
      <c r="H11" s="1">
        <v>96.012</v>
      </c>
      <c r="I11" s="1">
        <v>5.9979999999999999E-3</v>
      </c>
      <c r="J11" s="1">
        <v>89</v>
      </c>
    </row>
    <row r="12" spans="1:10" x14ac:dyDescent="0.35">
      <c r="A12" s="1">
        <v>16</v>
      </c>
      <c r="B12" s="1">
        <v>3.048</v>
      </c>
      <c r="C12" s="1">
        <v>1.524</v>
      </c>
      <c r="D12" s="1">
        <f t="shared" si="0"/>
        <v>3.048</v>
      </c>
      <c r="E12" s="1">
        <v>13.118</v>
      </c>
      <c r="F12" s="1">
        <v>77.8</v>
      </c>
      <c r="G12" s="1">
        <v>3.14</v>
      </c>
      <c r="H12" s="1">
        <v>53.34</v>
      </c>
      <c r="I12" s="1">
        <v>3.3284000000000001E-2</v>
      </c>
      <c r="J12" s="1">
        <v>50</v>
      </c>
    </row>
    <row r="13" spans="1:10" x14ac:dyDescent="0.35">
      <c r="A13" s="1">
        <v>17</v>
      </c>
      <c r="B13" s="1">
        <v>2.286</v>
      </c>
      <c r="C13" s="1">
        <v>1.143</v>
      </c>
      <c r="D13" s="1">
        <f t="shared" si="0"/>
        <v>2.286</v>
      </c>
      <c r="E13" s="1">
        <v>84.9</v>
      </c>
      <c r="F13" s="1">
        <v>97.662999999999997</v>
      </c>
      <c r="G13" s="1">
        <v>3.14</v>
      </c>
      <c r="H13" s="1">
        <v>128.01599999999999</v>
      </c>
      <c r="I13" s="1">
        <v>0.12683700000000001</v>
      </c>
      <c r="J13" s="1">
        <v>136</v>
      </c>
    </row>
    <row r="14" spans="1:10" x14ac:dyDescent="0.35">
      <c r="A14" s="1">
        <v>18</v>
      </c>
      <c r="B14" s="1">
        <v>3.81</v>
      </c>
      <c r="C14" s="1">
        <v>1.905</v>
      </c>
      <c r="D14" s="1">
        <f t="shared" si="0"/>
        <v>3.81</v>
      </c>
      <c r="E14" s="1">
        <v>22.9</v>
      </c>
      <c r="F14" s="1">
        <v>90.85</v>
      </c>
      <c r="G14" s="1">
        <v>3.14</v>
      </c>
      <c r="H14" s="1">
        <v>914.4</v>
      </c>
      <c r="I14" s="1">
        <v>3.1350000000000002E-3</v>
      </c>
      <c r="J14" s="1">
        <v>909</v>
      </c>
    </row>
    <row r="15" spans="1:10" x14ac:dyDescent="0.35">
      <c r="A15" s="1">
        <v>19</v>
      </c>
      <c r="B15" s="1">
        <v>4.5720000000000001</v>
      </c>
      <c r="C15" s="1">
        <v>2.286</v>
      </c>
      <c r="D15" s="1">
        <f t="shared" si="0"/>
        <v>4.5720000000000001</v>
      </c>
      <c r="E15" s="1">
        <v>49.3</v>
      </c>
      <c r="F15" s="1">
        <v>107.76</v>
      </c>
      <c r="G15" s="1">
        <v>3.14</v>
      </c>
      <c r="H15" s="1">
        <v>192.024</v>
      </c>
      <c r="I15" s="1">
        <v>7.4123999999999995E-2</v>
      </c>
      <c r="J15" s="1">
        <v>192</v>
      </c>
    </row>
    <row r="16" spans="1:10" x14ac:dyDescent="0.35">
      <c r="A16" s="1">
        <v>20</v>
      </c>
      <c r="B16" s="1">
        <v>1.524</v>
      </c>
      <c r="C16" s="1">
        <v>0.76200000000000001</v>
      </c>
      <c r="D16" s="1">
        <f t="shared" si="0"/>
        <v>1.524</v>
      </c>
      <c r="E16" s="1">
        <v>90.21</v>
      </c>
      <c r="F16" s="1">
        <v>90.19</v>
      </c>
      <c r="G16" s="1">
        <v>3.14</v>
      </c>
      <c r="H16" s="1">
        <v>60.96</v>
      </c>
      <c r="I16" s="3">
        <v>1</v>
      </c>
      <c r="J16" s="1">
        <v>53</v>
      </c>
    </row>
    <row r="17" spans="1:10" x14ac:dyDescent="0.35">
      <c r="A17" s="1">
        <v>22</v>
      </c>
      <c r="B17" s="1">
        <v>2.286</v>
      </c>
      <c r="C17" s="1">
        <v>1.143</v>
      </c>
      <c r="D17" s="1">
        <f t="shared" si="0"/>
        <v>2.286</v>
      </c>
      <c r="E17" s="1">
        <v>20.95</v>
      </c>
      <c r="F17" s="1">
        <v>25.72</v>
      </c>
      <c r="G17" s="1">
        <v>3.14</v>
      </c>
      <c r="H17" s="1">
        <v>106.68</v>
      </c>
      <c r="I17" s="1">
        <v>0.12683700000000001</v>
      </c>
      <c r="J17" s="1">
        <v>110</v>
      </c>
    </row>
    <row r="18" spans="1:10" x14ac:dyDescent="0.35">
      <c r="A18" s="1">
        <v>23</v>
      </c>
      <c r="B18" s="1">
        <v>11</v>
      </c>
      <c r="C18" s="1">
        <v>5.5</v>
      </c>
      <c r="D18" s="1">
        <f t="shared" si="0"/>
        <v>11</v>
      </c>
      <c r="E18" s="1">
        <v>4.2460000000000004</v>
      </c>
      <c r="F18" s="1">
        <v>63</v>
      </c>
      <c r="G18" s="1">
        <v>3.14</v>
      </c>
      <c r="H18" s="1">
        <v>420</v>
      </c>
      <c r="I18" s="1">
        <v>2.5225999999999998E-2</v>
      </c>
      <c r="J18" s="1">
        <v>430</v>
      </c>
    </row>
    <row r="19" spans="1:10" x14ac:dyDescent="0.35">
      <c r="A19" s="1">
        <v>29</v>
      </c>
      <c r="B19" s="1">
        <v>1.0669999999999999</v>
      </c>
      <c r="C19" s="1">
        <v>0.53300000000000003</v>
      </c>
      <c r="D19" s="1">
        <f t="shared" si="0"/>
        <v>1.0660000000000001</v>
      </c>
      <c r="E19" s="1">
        <v>3.57</v>
      </c>
      <c r="F19" s="1">
        <v>3.88</v>
      </c>
      <c r="G19" s="1">
        <v>3.14</v>
      </c>
      <c r="H19" s="1">
        <v>57.302399999999999</v>
      </c>
      <c r="I19" s="1">
        <v>0.50105</v>
      </c>
      <c r="J19" s="1">
        <v>54</v>
      </c>
    </row>
    <row r="20" spans="1:10" x14ac:dyDescent="0.35">
      <c r="A20" s="1">
        <v>30</v>
      </c>
      <c r="B20" s="1">
        <v>1.5249999999999999</v>
      </c>
      <c r="C20" s="1">
        <v>0.76200000000000001</v>
      </c>
      <c r="D20" s="1">
        <f t="shared" si="0"/>
        <v>1.524</v>
      </c>
      <c r="E20" s="1">
        <v>5.22</v>
      </c>
      <c r="F20" s="1">
        <v>27.61</v>
      </c>
      <c r="G20" s="1">
        <v>3.14</v>
      </c>
      <c r="H20" s="1">
        <v>152</v>
      </c>
      <c r="I20" s="1">
        <v>2.0999999999999999E-3</v>
      </c>
      <c r="J20" s="1">
        <v>162</v>
      </c>
    </row>
    <row r="21" spans="1:10" x14ac:dyDescent="0.35">
      <c r="A21" s="1">
        <v>31</v>
      </c>
      <c r="B21" s="1">
        <v>4.57</v>
      </c>
      <c r="C21" s="1">
        <v>2.2850000000000001</v>
      </c>
      <c r="D21" s="1">
        <f t="shared" si="0"/>
        <v>4.57</v>
      </c>
      <c r="E21" s="1">
        <v>9.23</v>
      </c>
      <c r="F21" s="1">
        <v>14.71</v>
      </c>
      <c r="G21" s="1">
        <v>3.14</v>
      </c>
      <c r="H21" s="1">
        <v>366</v>
      </c>
      <c r="I21" s="1">
        <v>5.4672999999999999E-2</v>
      </c>
      <c r="J21" s="1">
        <v>370</v>
      </c>
    </row>
    <row r="22" spans="1:10" x14ac:dyDescent="0.35">
      <c r="A22" s="1">
        <v>32</v>
      </c>
      <c r="B22" s="1">
        <v>3.05</v>
      </c>
      <c r="C22" s="1">
        <v>1.5249999999999999</v>
      </c>
      <c r="D22" s="1">
        <f t="shared" si="0"/>
        <v>3.05</v>
      </c>
      <c r="E22" s="1">
        <v>2.84</v>
      </c>
      <c r="F22" s="1">
        <v>24.6</v>
      </c>
      <c r="G22" s="1">
        <v>3.14</v>
      </c>
      <c r="H22" s="1">
        <v>168</v>
      </c>
      <c r="I22" s="1">
        <v>5.0229999999999997E-3</v>
      </c>
      <c r="J22" s="1">
        <v>175</v>
      </c>
    </row>
    <row r="23" spans="1:10" x14ac:dyDescent="0.35">
      <c r="A23" s="1">
        <v>34</v>
      </c>
      <c r="B23" s="1">
        <v>1.5249999999999999</v>
      </c>
      <c r="C23" s="1">
        <v>0.76200000000000001</v>
      </c>
      <c r="D23" s="1">
        <f t="shared" si="0"/>
        <v>1.524</v>
      </c>
      <c r="E23" s="1">
        <v>48.65</v>
      </c>
      <c r="F23" s="1">
        <v>47.59</v>
      </c>
      <c r="G23" s="1">
        <v>3.14</v>
      </c>
      <c r="H23" s="1">
        <v>85</v>
      </c>
      <c r="I23" s="4">
        <v>1</v>
      </c>
      <c r="J23" s="1">
        <v>84</v>
      </c>
    </row>
    <row r="24" spans="1:10" x14ac:dyDescent="0.35">
      <c r="A24" s="1">
        <v>35</v>
      </c>
      <c r="B24" s="1">
        <v>5.335</v>
      </c>
      <c r="C24" s="1">
        <v>2.6669999999999998</v>
      </c>
      <c r="D24" s="1">
        <f t="shared" si="0"/>
        <v>5.3339999999999996</v>
      </c>
      <c r="E24" s="1">
        <v>18.27</v>
      </c>
      <c r="F24" s="1">
        <v>25.45</v>
      </c>
      <c r="G24" s="1">
        <v>3.14</v>
      </c>
      <c r="H24" s="1">
        <v>229</v>
      </c>
      <c r="I24" s="1">
        <v>0.50205</v>
      </c>
      <c r="J24" s="1">
        <v>231</v>
      </c>
    </row>
    <row r="25" spans="1:10" x14ac:dyDescent="0.35">
      <c r="A25" s="1">
        <v>36</v>
      </c>
      <c r="B25" s="1">
        <v>4.57</v>
      </c>
      <c r="C25" s="1">
        <v>2.2850000000000001</v>
      </c>
      <c r="D25" s="1">
        <f t="shared" si="0"/>
        <v>4.57</v>
      </c>
      <c r="E25" s="1">
        <v>3.23</v>
      </c>
      <c r="F25" s="1">
        <v>41.2</v>
      </c>
      <c r="G25" s="1">
        <v>3.14</v>
      </c>
      <c r="H25" s="1">
        <v>198</v>
      </c>
      <c r="I25" s="1">
        <v>1.188E-2</v>
      </c>
      <c r="J25" s="1">
        <v>188</v>
      </c>
    </row>
    <row r="26" spans="1:10" x14ac:dyDescent="0.35">
      <c r="A26" s="1">
        <v>37</v>
      </c>
      <c r="B26" s="1">
        <v>7.62</v>
      </c>
      <c r="C26" s="1">
        <v>3.81</v>
      </c>
      <c r="D26" s="1">
        <f t="shared" si="0"/>
        <v>7.62</v>
      </c>
      <c r="E26" s="1">
        <v>6.01</v>
      </c>
      <c r="F26" s="1">
        <v>31.84</v>
      </c>
      <c r="G26" s="1">
        <v>3.14</v>
      </c>
      <c r="H26" s="1">
        <v>853</v>
      </c>
      <c r="I26" s="1">
        <v>1.1065999999999999E-2</v>
      </c>
      <c r="J26" s="1">
        <v>849</v>
      </c>
    </row>
    <row r="27" spans="1:10" x14ac:dyDescent="0.35">
      <c r="A27" s="1">
        <v>39</v>
      </c>
      <c r="B27" s="1">
        <v>1.22</v>
      </c>
      <c r="C27" s="1">
        <v>0.61</v>
      </c>
      <c r="D27" s="1">
        <f t="shared" si="0"/>
        <v>1.22</v>
      </c>
      <c r="E27" s="1">
        <v>13.8</v>
      </c>
      <c r="F27" s="1">
        <v>36.24</v>
      </c>
      <c r="G27" s="1">
        <v>3.14</v>
      </c>
      <c r="H27" s="1">
        <v>64</v>
      </c>
      <c r="I27" s="1">
        <v>1.3794000000000001E-2</v>
      </c>
      <c r="J27" s="1">
        <v>60</v>
      </c>
    </row>
    <row r="28" spans="1:10" x14ac:dyDescent="0.35">
      <c r="A28" s="1">
        <v>41</v>
      </c>
      <c r="B28" s="1">
        <v>4.57</v>
      </c>
      <c r="C28" s="1">
        <v>2.2850000000000001</v>
      </c>
      <c r="D28" s="1">
        <f t="shared" si="0"/>
        <v>4.57</v>
      </c>
      <c r="E28" s="1">
        <v>15.6</v>
      </c>
      <c r="F28" s="1">
        <v>25.44</v>
      </c>
      <c r="G28" s="1">
        <v>3.14</v>
      </c>
      <c r="H28" s="1">
        <v>549</v>
      </c>
      <c r="I28" s="1">
        <v>2.5496000000000001E-2</v>
      </c>
      <c r="J28" s="1">
        <v>553</v>
      </c>
    </row>
    <row r="29" spans="1:10" x14ac:dyDescent="0.35">
      <c r="A29" s="1">
        <v>42</v>
      </c>
      <c r="B29" s="1">
        <v>3.05</v>
      </c>
      <c r="C29" s="1">
        <v>1.5249999999999999</v>
      </c>
      <c r="D29" s="1">
        <f t="shared" si="0"/>
        <v>3.05</v>
      </c>
      <c r="E29" s="1">
        <v>9.23</v>
      </c>
      <c r="F29" s="1">
        <v>17.14</v>
      </c>
      <c r="G29" s="1">
        <v>3.14</v>
      </c>
      <c r="H29" s="1">
        <v>152</v>
      </c>
      <c r="I29" s="1">
        <v>4.1079999999999998E-2</v>
      </c>
      <c r="J29" s="1">
        <v>159</v>
      </c>
    </row>
    <row r="30" spans="1:10" x14ac:dyDescent="0.35">
      <c r="A30" s="1">
        <v>43</v>
      </c>
      <c r="B30" s="1">
        <v>1.83</v>
      </c>
      <c r="C30" s="1">
        <v>0.91500000000000004</v>
      </c>
      <c r="D30" s="1">
        <f t="shared" si="0"/>
        <v>1.83</v>
      </c>
      <c r="E30" s="1">
        <v>3.13</v>
      </c>
      <c r="F30" s="1">
        <v>28.55</v>
      </c>
      <c r="G30" s="1">
        <v>3.14</v>
      </c>
      <c r="H30" s="1">
        <v>96</v>
      </c>
      <c r="I30" s="1">
        <v>3.0739999999999999E-3</v>
      </c>
      <c r="J30" s="1">
        <v>90</v>
      </c>
    </row>
    <row r="31" spans="1:10" x14ac:dyDescent="0.35">
      <c r="A31" s="1">
        <v>44</v>
      </c>
      <c r="B31" s="1">
        <v>6</v>
      </c>
      <c r="C31" s="1">
        <v>3</v>
      </c>
      <c r="D31" s="1">
        <f t="shared" si="0"/>
        <v>6</v>
      </c>
      <c r="E31" s="1">
        <v>7.0000000000000007E-2</v>
      </c>
      <c r="F31" s="1">
        <v>86</v>
      </c>
      <c r="G31" s="1">
        <v>3.14</v>
      </c>
      <c r="H31" s="1">
        <v>140</v>
      </c>
      <c r="I31" s="1">
        <v>6.7739999999999996E-3</v>
      </c>
      <c r="J31" s="1">
        <v>143</v>
      </c>
    </row>
    <row r="32" spans="1:10" x14ac:dyDescent="0.35">
      <c r="A32" s="1">
        <v>45</v>
      </c>
      <c r="B32" s="1">
        <v>6</v>
      </c>
      <c r="C32" s="1">
        <v>3</v>
      </c>
      <c r="D32" s="1">
        <f t="shared" si="0"/>
        <v>6</v>
      </c>
      <c r="E32" s="1">
        <v>0.04</v>
      </c>
      <c r="F32" s="1">
        <v>86</v>
      </c>
      <c r="G32" s="1">
        <v>3.14</v>
      </c>
      <c r="H32" s="1">
        <v>90</v>
      </c>
      <c r="I32" s="1">
        <v>7.9900000000000006E-3</v>
      </c>
      <c r="J32" s="1">
        <v>89</v>
      </c>
    </row>
    <row r="33" spans="1:10" x14ac:dyDescent="0.35">
      <c r="A33" s="1">
        <v>46</v>
      </c>
      <c r="B33" s="1">
        <v>6</v>
      </c>
      <c r="C33" s="1">
        <v>3</v>
      </c>
      <c r="D33" s="1">
        <f t="shared" si="0"/>
        <v>6</v>
      </c>
      <c r="E33" s="1">
        <v>1.3</v>
      </c>
      <c r="F33" s="1">
        <v>86</v>
      </c>
      <c r="G33" s="1">
        <v>3.14</v>
      </c>
      <c r="H33" s="1">
        <v>120</v>
      </c>
      <c r="I33" s="1">
        <v>9.9349999999999994E-3</v>
      </c>
      <c r="J33" s="1">
        <v>115</v>
      </c>
    </row>
    <row r="34" spans="1:10" x14ac:dyDescent="0.35">
      <c r="A34" s="1">
        <v>47</v>
      </c>
      <c r="B34" s="1">
        <v>6</v>
      </c>
      <c r="C34" s="1">
        <v>3</v>
      </c>
      <c r="D34" s="1">
        <f t="shared" si="0"/>
        <v>6</v>
      </c>
      <c r="E34" s="1">
        <v>2.4</v>
      </c>
      <c r="F34" s="1">
        <v>92</v>
      </c>
      <c r="G34" s="1">
        <v>3.14</v>
      </c>
      <c r="H34" s="1">
        <v>90</v>
      </c>
      <c r="I34" s="1">
        <v>2.7441E-2</v>
      </c>
      <c r="J34" s="1">
        <v>80</v>
      </c>
    </row>
    <row r="35" spans="1:10" x14ac:dyDescent="0.35">
      <c r="A35" s="1">
        <v>48</v>
      </c>
      <c r="B35" s="1">
        <v>6</v>
      </c>
      <c r="C35" s="1">
        <v>3</v>
      </c>
      <c r="D35" s="1">
        <f t="shared" si="0"/>
        <v>6</v>
      </c>
      <c r="E35" s="1">
        <v>1.4</v>
      </c>
      <c r="F35" s="1">
        <v>92</v>
      </c>
      <c r="G35" s="1">
        <v>3.14</v>
      </c>
      <c r="H35" s="1">
        <v>60</v>
      </c>
      <c r="I35" s="1">
        <v>2.7441E-2</v>
      </c>
      <c r="J35" s="1">
        <v>55</v>
      </c>
    </row>
    <row r="36" spans="1:10" x14ac:dyDescent="0.35">
      <c r="A36" s="1">
        <v>49</v>
      </c>
      <c r="B36" s="1">
        <v>6</v>
      </c>
      <c r="C36" s="1">
        <v>3</v>
      </c>
      <c r="D36" s="1">
        <f t="shared" si="0"/>
        <v>6</v>
      </c>
      <c r="E36" s="1">
        <v>0.7</v>
      </c>
      <c r="F36" s="1">
        <v>92</v>
      </c>
      <c r="G36" s="1">
        <v>3.14</v>
      </c>
      <c r="H36" s="1">
        <v>90</v>
      </c>
      <c r="I36" s="1">
        <v>9.9349999999999994E-3</v>
      </c>
      <c r="J36" s="1">
        <v>98</v>
      </c>
    </row>
    <row r="37" spans="1:10" x14ac:dyDescent="0.35">
      <c r="A37" s="1">
        <v>52</v>
      </c>
      <c r="B37" s="1">
        <v>7.5</v>
      </c>
      <c r="C37" s="1">
        <v>3.75</v>
      </c>
      <c r="D37" s="1">
        <f t="shared" si="0"/>
        <v>7.5</v>
      </c>
      <c r="E37" s="1">
        <v>0.31</v>
      </c>
      <c r="F37" s="1">
        <v>203</v>
      </c>
      <c r="G37" s="1">
        <v>3.14</v>
      </c>
      <c r="H37" s="1">
        <v>160</v>
      </c>
      <c r="I37" s="1">
        <v>1.1065999999999999E-2</v>
      </c>
      <c r="J37" s="1">
        <v>157</v>
      </c>
    </row>
    <row r="38" spans="1:10" x14ac:dyDescent="0.35">
      <c r="A38" s="1">
        <v>55</v>
      </c>
      <c r="B38" s="1">
        <v>3.7</v>
      </c>
      <c r="C38" s="1">
        <v>1.85</v>
      </c>
      <c r="D38" s="1">
        <f t="shared" si="0"/>
        <v>3.7</v>
      </c>
      <c r="E38" s="1">
        <v>123</v>
      </c>
      <c r="F38" s="1">
        <v>1402.6</v>
      </c>
      <c r="G38" s="1">
        <v>3.14</v>
      </c>
      <c r="H38" s="1">
        <v>200</v>
      </c>
      <c r="I38" s="1">
        <v>8.9210000000000001E-3</v>
      </c>
      <c r="J38" s="1">
        <v>195</v>
      </c>
    </row>
    <row r="39" spans="1:10" x14ac:dyDescent="0.35">
      <c r="A39" s="1">
        <v>56</v>
      </c>
      <c r="B39" s="1">
        <v>3</v>
      </c>
      <c r="C39" s="1">
        <v>1.5</v>
      </c>
      <c r="D39" s="1">
        <f t="shared" si="0"/>
        <v>3</v>
      </c>
      <c r="E39" s="1">
        <v>230</v>
      </c>
      <c r="F39" s="1">
        <v>655.9</v>
      </c>
      <c r="G39" s="1">
        <v>3.14</v>
      </c>
      <c r="H39" s="1">
        <v>500</v>
      </c>
      <c r="I39" s="1">
        <v>5.9979999999999999E-3</v>
      </c>
      <c r="J39" s="1">
        <v>498</v>
      </c>
    </row>
    <row r="40" spans="1:10" x14ac:dyDescent="0.35">
      <c r="A40" s="1">
        <v>57</v>
      </c>
      <c r="B40" s="1">
        <v>5</v>
      </c>
      <c r="C40" s="1">
        <v>2.5</v>
      </c>
      <c r="D40" s="1">
        <f t="shared" si="0"/>
        <v>5</v>
      </c>
      <c r="E40" s="1">
        <v>0.01</v>
      </c>
      <c r="F40" s="1">
        <v>4</v>
      </c>
      <c r="G40" s="1">
        <v>3.14</v>
      </c>
      <c r="H40" s="1">
        <v>100</v>
      </c>
      <c r="I40" s="1">
        <v>5.0720000000000001E-3</v>
      </c>
      <c r="J40" s="1">
        <v>101</v>
      </c>
    </row>
    <row r="45" spans="1:10" x14ac:dyDescent="0.35">
      <c r="A45" t="s">
        <v>1</v>
      </c>
    </row>
    <row r="46" spans="1:10" x14ac:dyDescent="0.35">
      <c r="A46" t="s">
        <v>403</v>
      </c>
    </row>
    <row r="47" spans="1:10" x14ac:dyDescent="0.35">
      <c r="A47" t="s">
        <v>404</v>
      </c>
    </row>
    <row r="48" spans="1:10" x14ac:dyDescent="0.35">
      <c r="A48" t="s">
        <v>405</v>
      </c>
    </row>
    <row r="49" spans="1:1" x14ac:dyDescent="0.35">
      <c r="A49" t="s">
        <v>406</v>
      </c>
    </row>
    <row r="50" spans="1:1" x14ac:dyDescent="0.35">
      <c r="A50" t="s">
        <v>407</v>
      </c>
    </row>
    <row r="51" spans="1:1" x14ac:dyDescent="0.35">
      <c r="A51" t="s">
        <v>408</v>
      </c>
    </row>
    <row r="52" spans="1:1" x14ac:dyDescent="0.35">
      <c r="A52" t="s">
        <v>409</v>
      </c>
    </row>
    <row r="53" spans="1:1" x14ac:dyDescent="0.35">
      <c r="A53" t="s">
        <v>410</v>
      </c>
    </row>
    <row r="54" spans="1:1" x14ac:dyDescent="0.35">
      <c r="A54" t="s">
        <v>411</v>
      </c>
    </row>
    <row r="55" spans="1:1" x14ac:dyDescent="0.35">
      <c r="A55" t="s">
        <v>412</v>
      </c>
    </row>
    <row r="56" spans="1:1" x14ac:dyDescent="0.35">
      <c r="A56" t="s">
        <v>413</v>
      </c>
    </row>
    <row r="57" spans="1:1" x14ac:dyDescent="0.35">
      <c r="A57" t="s">
        <v>414</v>
      </c>
    </row>
    <row r="58" spans="1:1" x14ac:dyDescent="0.35">
      <c r="A58" t="s">
        <v>415</v>
      </c>
    </row>
    <row r="59" spans="1:1" x14ac:dyDescent="0.35">
      <c r="A59" t="s">
        <v>416</v>
      </c>
    </row>
    <row r="60" spans="1:1" x14ac:dyDescent="0.35">
      <c r="A60" t="s">
        <v>417</v>
      </c>
    </row>
    <row r="61" spans="1:1" x14ac:dyDescent="0.35">
      <c r="A61" t="s">
        <v>418</v>
      </c>
    </row>
    <row r="62" spans="1:1" x14ac:dyDescent="0.35">
      <c r="A62" t="s">
        <v>419</v>
      </c>
    </row>
    <row r="63" spans="1:1" x14ac:dyDescent="0.35">
      <c r="A63" t="s">
        <v>420</v>
      </c>
    </row>
    <row r="64" spans="1:1" x14ac:dyDescent="0.35">
      <c r="A64" t="s">
        <v>374</v>
      </c>
    </row>
    <row r="65" spans="1:1" x14ac:dyDescent="0.35">
      <c r="A65" t="s">
        <v>421</v>
      </c>
    </row>
    <row r="66" spans="1:1" x14ac:dyDescent="0.35">
      <c r="A66" t="s">
        <v>422</v>
      </c>
    </row>
    <row r="67" spans="1:1" x14ac:dyDescent="0.35">
      <c r="A67" t="s">
        <v>423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874A4-50AC-4F3E-B1E1-4503C59735E5}">
  <dimension ref="A1:J67"/>
  <sheetViews>
    <sheetView workbookViewId="0">
      <selection sqref="A1:XFD1"/>
    </sheetView>
  </sheetViews>
  <sheetFormatPr defaultRowHeight="14.5" x14ac:dyDescent="0.35"/>
  <cols>
    <col min="4" max="4" width="27.1796875" customWidth="1"/>
    <col min="9" max="9" width="25.6328125" customWidth="1"/>
  </cols>
  <sheetData>
    <row r="1" spans="1:10" x14ac:dyDescent="0.35">
      <c r="A1" s="2" t="s">
        <v>345</v>
      </c>
      <c r="B1" s="2" t="s">
        <v>344</v>
      </c>
      <c r="C1" s="2" t="s">
        <v>343</v>
      </c>
      <c r="D1" s="2" t="s">
        <v>572</v>
      </c>
      <c r="E1" s="2" t="s">
        <v>342</v>
      </c>
      <c r="F1" s="2" t="s">
        <v>341</v>
      </c>
      <c r="G1" s="2" t="s">
        <v>340</v>
      </c>
      <c r="H1" s="2" t="s">
        <v>339</v>
      </c>
      <c r="I1" s="2" t="s">
        <v>573</v>
      </c>
      <c r="J1" s="2" t="s">
        <v>338</v>
      </c>
    </row>
    <row r="2" spans="1:10" x14ac:dyDescent="0.35">
      <c r="A2" s="1">
        <v>1</v>
      </c>
      <c r="B2" s="1">
        <v>4.5720000000000001</v>
      </c>
      <c r="C2" s="1">
        <v>3.4289999999999998</v>
      </c>
      <c r="D2" s="1">
        <f>2*C2</f>
        <v>6.8579999999999997</v>
      </c>
      <c r="E2" s="1">
        <v>3.55</v>
      </c>
      <c r="F2" s="1">
        <v>37.67</v>
      </c>
      <c r="G2" s="1">
        <v>3.14</v>
      </c>
      <c r="H2" s="1">
        <v>274.32</v>
      </c>
      <c r="I2" s="1">
        <v>1.2031999999999999E-2</v>
      </c>
      <c r="J2" s="1">
        <v>283</v>
      </c>
    </row>
    <row r="3" spans="1:10" x14ac:dyDescent="0.35">
      <c r="A3" s="1">
        <v>2</v>
      </c>
      <c r="B3" s="1">
        <v>1.524</v>
      </c>
      <c r="C3" s="1">
        <v>1.143</v>
      </c>
      <c r="D3" s="1">
        <f t="shared" ref="D3:D38" si="0">2*C3</f>
        <v>2.286</v>
      </c>
      <c r="E3" s="1">
        <v>28</v>
      </c>
      <c r="F3" s="1">
        <v>106.35</v>
      </c>
      <c r="G3" s="1">
        <v>3.14</v>
      </c>
      <c r="H3" s="1">
        <v>228.6</v>
      </c>
      <c r="I3" s="1">
        <v>5.5110000000000003E-3</v>
      </c>
      <c r="J3" s="1">
        <v>222</v>
      </c>
    </row>
    <row r="4" spans="1:10" x14ac:dyDescent="0.35">
      <c r="A4" s="1">
        <v>4</v>
      </c>
      <c r="B4" s="1">
        <v>3.048</v>
      </c>
      <c r="C4" s="1">
        <v>2.286</v>
      </c>
      <c r="D4" s="1">
        <f t="shared" si="0"/>
        <v>4.5720000000000001</v>
      </c>
      <c r="E4" s="1">
        <v>43.28</v>
      </c>
      <c r="F4" s="1">
        <v>103.4</v>
      </c>
      <c r="G4" s="1">
        <v>3.14</v>
      </c>
      <c r="H4" s="1">
        <v>213.36</v>
      </c>
      <c r="I4" s="1">
        <v>5.4672999999999999E-2</v>
      </c>
      <c r="J4" s="1">
        <v>212</v>
      </c>
    </row>
    <row r="5" spans="1:10" x14ac:dyDescent="0.35">
      <c r="A5" s="1">
        <v>5</v>
      </c>
      <c r="B5" s="1">
        <v>1.524</v>
      </c>
      <c r="C5" s="1">
        <v>1.143</v>
      </c>
      <c r="D5" s="1">
        <f t="shared" si="0"/>
        <v>2.286</v>
      </c>
      <c r="E5" s="1">
        <v>5.26</v>
      </c>
      <c r="F5" s="1">
        <v>19.79</v>
      </c>
      <c r="G5" s="1">
        <v>3.14</v>
      </c>
      <c r="H5" s="1">
        <v>259.08</v>
      </c>
      <c r="I5" s="1">
        <v>3.5620000000000001E-3</v>
      </c>
      <c r="J5" s="1">
        <v>266</v>
      </c>
    </row>
    <row r="6" spans="1:10" x14ac:dyDescent="0.35">
      <c r="A6" s="1">
        <v>6</v>
      </c>
      <c r="B6" s="1">
        <v>3.81</v>
      </c>
      <c r="C6" s="1">
        <v>2.8570000000000002</v>
      </c>
      <c r="D6" s="1">
        <f t="shared" si="0"/>
        <v>5.7140000000000004</v>
      </c>
      <c r="E6" s="1">
        <v>4.03</v>
      </c>
      <c r="F6" s="1">
        <v>35.049999999999997</v>
      </c>
      <c r="G6" s="1">
        <v>3.14</v>
      </c>
      <c r="H6" s="1">
        <v>91.44</v>
      </c>
      <c r="I6" s="1">
        <v>3.5221000000000002E-2</v>
      </c>
      <c r="J6" s="1">
        <v>93</v>
      </c>
    </row>
    <row r="7" spans="1:10" x14ac:dyDescent="0.35">
      <c r="A7" s="1">
        <v>7</v>
      </c>
      <c r="B7" s="1">
        <v>2.286</v>
      </c>
      <c r="C7" s="1">
        <v>1.7150000000000001</v>
      </c>
      <c r="D7" s="1">
        <f t="shared" si="0"/>
        <v>3.43</v>
      </c>
      <c r="E7" s="1">
        <v>14.1</v>
      </c>
      <c r="F7" s="1">
        <v>1004.04</v>
      </c>
      <c r="G7" s="1">
        <v>3.14</v>
      </c>
      <c r="H7" s="1">
        <v>146.304</v>
      </c>
      <c r="I7" s="1">
        <v>2.0999999999999999E-3</v>
      </c>
      <c r="J7" s="1">
        <v>148</v>
      </c>
    </row>
    <row r="8" spans="1:10" x14ac:dyDescent="0.35">
      <c r="A8" s="1">
        <v>8</v>
      </c>
      <c r="B8" s="1">
        <v>1.524</v>
      </c>
      <c r="C8" s="1">
        <v>1.143</v>
      </c>
      <c r="D8" s="1">
        <f t="shared" si="0"/>
        <v>2.286</v>
      </c>
      <c r="E8" s="1">
        <v>29.64</v>
      </c>
      <c r="F8" s="1">
        <v>113.77</v>
      </c>
      <c r="G8" s="1">
        <v>3.14</v>
      </c>
      <c r="H8" s="1">
        <v>76.2</v>
      </c>
      <c r="I8" s="1">
        <v>2.1590000000000002E-2</v>
      </c>
      <c r="J8" s="1">
        <v>75</v>
      </c>
    </row>
    <row r="9" spans="1:10" x14ac:dyDescent="0.35">
      <c r="A9" s="1">
        <v>9</v>
      </c>
      <c r="B9" s="1">
        <v>3.81</v>
      </c>
      <c r="C9" s="1">
        <v>2.8570000000000002</v>
      </c>
      <c r="D9" s="1">
        <f t="shared" si="0"/>
        <v>5.7140000000000004</v>
      </c>
      <c r="E9" s="1">
        <v>0.68</v>
      </c>
      <c r="F9" s="1">
        <v>68.94</v>
      </c>
      <c r="G9" s="1">
        <v>3.14</v>
      </c>
      <c r="H9" s="1">
        <v>106.68</v>
      </c>
      <c r="I9" s="1">
        <v>7.5040000000000003E-3</v>
      </c>
      <c r="J9" s="1">
        <v>103</v>
      </c>
    </row>
    <row r="10" spans="1:10" x14ac:dyDescent="0.35">
      <c r="A10" s="1">
        <v>10</v>
      </c>
      <c r="B10" s="1">
        <v>5.3339999999999996</v>
      </c>
      <c r="C10" s="1">
        <v>4</v>
      </c>
      <c r="D10" s="1">
        <f t="shared" si="0"/>
        <v>8</v>
      </c>
      <c r="E10" s="1">
        <v>18.27</v>
      </c>
      <c r="F10" s="1">
        <v>87.41</v>
      </c>
      <c r="G10" s="1">
        <v>3.14</v>
      </c>
      <c r="H10" s="1">
        <v>350.52</v>
      </c>
      <c r="I10" s="1">
        <v>3.1365999999999998E-2</v>
      </c>
      <c r="J10" s="1">
        <v>358</v>
      </c>
    </row>
    <row r="11" spans="1:10" x14ac:dyDescent="0.35">
      <c r="A11" s="1">
        <v>13</v>
      </c>
      <c r="B11" s="1">
        <v>1.524</v>
      </c>
      <c r="C11" s="1">
        <v>1.143</v>
      </c>
      <c r="D11" s="1">
        <f t="shared" si="0"/>
        <v>2.286</v>
      </c>
      <c r="E11" s="1">
        <v>12.84</v>
      </c>
      <c r="F11" s="1">
        <v>29.26</v>
      </c>
      <c r="G11" s="1">
        <v>3.14</v>
      </c>
      <c r="H11" s="1">
        <v>109.72799999999999</v>
      </c>
      <c r="I11" s="1">
        <v>3.3284000000000001E-2</v>
      </c>
      <c r="J11" s="1">
        <v>101</v>
      </c>
    </row>
    <row r="12" spans="1:10" x14ac:dyDescent="0.35">
      <c r="A12" s="1">
        <v>14</v>
      </c>
      <c r="B12" s="1">
        <v>3.81</v>
      </c>
      <c r="C12" s="1">
        <v>2.8570000000000002</v>
      </c>
      <c r="D12" s="1">
        <f t="shared" si="0"/>
        <v>5.7140000000000004</v>
      </c>
      <c r="E12" s="1">
        <v>8.18</v>
      </c>
      <c r="F12" s="1">
        <v>23.9</v>
      </c>
      <c r="G12" s="1">
        <v>3.14</v>
      </c>
      <c r="H12" s="1">
        <v>219.45599999999999</v>
      </c>
      <c r="I12" s="1">
        <v>5.0782000000000001E-2</v>
      </c>
      <c r="J12" s="1">
        <v>214</v>
      </c>
    </row>
    <row r="13" spans="1:10" x14ac:dyDescent="0.35">
      <c r="A13" s="1">
        <v>15</v>
      </c>
      <c r="B13" s="1">
        <v>1.524</v>
      </c>
      <c r="C13" s="1">
        <v>1.143</v>
      </c>
      <c r="D13" s="1">
        <f t="shared" si="0"/>
        <v>2.286</v>
      </c>
      <c r="E13" s="1">
        <v>13.8</v>
      </c>
      <c r="F13" s="1">
        <v>57.76</v>
      </c>
      <c r="G13" s="1">
        <v>3.14</v>
      </c>
      <c r="H13" s="1">
        <v>96.012</v>
      </c>
      <c r="I13" s="1">
        <v>1.3794000000000001E-2</v>
      </c>
      <c r="J13" s="1">
        <v>90</v>
      </c>
    </row>
    <row r="14" spans="1:10" x14ac:dyDescent="0.35">
      <c r="A14" s="1">
        <v>16</v>
      </c>
      <c r="B14" s="1">
        <v>3.048</v>
      </c>
      <c r="C14" s="1">
        <v>2.286</v>
      </c>
      <c r="D14" s="1">
        <f t="shared" si="0"/>
        <v>4.5720000000000001</v>
      </c>
      <c r="E14" s="1">
        <v>13.118</v>
      </c>
      <c r="F14" s="1">
        <v>77.8</v>
      </c>
      <c r="G14" s="1">
        <v>3.14</v>
      </c>
      <c r="H14" s="1">
        <v>53.34</v>
      </c>
      <c r="I14" s="1">
        <v>6.6342999999999999E-2</v>
      </c>
      <c r="J14" s="1">
        <v>58</v>
      </c>
    </row>
    <row r="15" spans="1:10" x14ac:dyDescent="0.35">
      <c r="A15" s="1">
        <v>17</v>
      </c>
      <c r="B15" s="1">
        <v>2.286</v>
      </c>
      <c r="C15" s="1">
        <v>1.7150000000000001</v>
      </c>
      <c r="D15" s="1">
        <f t="shared" si="0"/>
        <v>3.43</v>
      </c>
      <c r="E15" s="1">
        <v>84.9</v>
      </c>
      <c r="F15" s="1">
        <v>97.662999999999997</v>
      </c>
      <c r="G15" s="1">
        <v>3.14</v>
      </c>
      <c r="H15" s="1">
        <v>128.01599999999999</v>
      </c>
      <c r="I15" s="1">
        <v>0.50105</v>
      </c>
      <c r="J15" s="1">
        <v>119</v>
      </c>
    </row>
    <row r="16" spans="1:10" x14ac:dyDescent="0.35">
      <c r="A16" s="1">
        <v>18</v>
      </c>
      <c r="B16" s="1">
        <v>3.81</v>
      </c>
      <c r="C16" s="1">
        <v>2.8570000000000002</v>
      </c>
      <c r="D16" s="1">
        <f t="shared" si="0"/>
        <v>5.7140000000000004</v>
      </c>
      <c r="E16" s="1">
        <v>22.9</v>
      </c>
      <c r="F16" s="1">
        <v>90.85</v>
      </c>
      <c r="G16" s="1">
        <v>3.14</v>
      </c>
      <c r="H16" s="1">
        <v>914.4</v>
      </c>
      <c r="I16" s="1">
        <v>7.26E-3</v>
      </c>
      <c r="J16" s="1">
        <v>919</v>
      </c>
    </row>
    <row r="17" spans="1:10" x14ac:dyDescent="0.35">
      <c r="A17" s="1">
        <v>19</v>
      </c>
      <c r="B17" s="1">
        <v>4.5720000000000001</v>
      </c>
      <c r="C17" s="1">
        <v>3.4289999999999998</v>
      </c>
      <c r="D17" s="1">
        <f t="shared" si="0"/>
        <v>6.8579999999999997</v>
      </c>
      <c r="E17" s="1">
        <v>49.3</v>
      </c>
      <c r="F17" s="1">
        <v>107.76</v>
      </c>
      <c r="G17" s="1">
        <v>3.14</v>
      </c>
      <c r="H17" s="1">
        <v>192.024</v>
      </c>
      <c r="I17" s="1">
        <v>0.19570499999999999</v>
      </c>
      <c r="J17" s="1">
        <v>188</v>
      </c>
    </row>
    <row r="18" spans="1:10" x14ac:dyDescent="0.35">
      <c r="A18" s="1">
        <v>21</v>
      </c>
      <c r="B18" s="1">
        <v>2.286</v>
      </c>
      <c r="C18" s="1">
        <v>1.7150000000000001</v>
      </c>
      <c r="D18" s="1">
        <f t="shared" si="0"/>
        <v>3.43</v>
      </c>
      <c r="E18" s="1">
        <v>0.46899999999999997</v>
      </c>
      <c r="F18" s="1">
        <v>454.56</v>
      </c>
      <c r="G18" s="1">
        <v>3.14</v>
      </c>
      <c r="H18" s="1">
        <v>60.96</v>
      </c>
      <c r="I18" s="1">
        <v>2.5869999999999999E-3</v>
      </c>
      <c r="J18" s="1">
        <v>65</v>
      </c>
    </row>
    <row r="19" spans="1:10" x14ac:dyDescent="0.35">
      <c r="A19" s="1">
        <v>22</v>
      </c>
      <c r="B19" s="1">
        <v>2.286</v>
      </c>
      <c r="C19" s="1">
        <v>1.7150000000000001</v>
      </c>
      <c r="D19" s="1">
        <f t="shared" si="0"/>
        <v>3.43</v>
      </c>
      <c r="E19" s="1">
        <v>20.95</v>
      </c>
      <c r="F19" s="1">
        <v>25.72</v>
      </c>
      <c r="G19" s="1">
        <v>3.14</v>
      </c>
      <c r="H19" s="1">
        <v>106.68</v>
      </c>
      <c r="I19" s="1">
        <v>0.37631199999999998</v>
      </c>
      <c r="J19" s="1">
        <v>108</v>
      </c>
    </row>
    <row r="20" spans="1:10" x14ac:dyDescent="0.35">
      <c r="A20" s="1">
        <v>29</v>
      </c>
      <c r="B20" s="1">
        <v>1.0669999999999999</v>
      </c>
      <c r="C20" s="1">
        <v>0.8</v>
      </c>
      <c r="D20" s="1">
        <f t="shared" si="0"/>
        <v>1.6</v>
      </c>
      <c r="E20" s="1">
        <v>3.57</v>
      </c>
      <c r="F20" s="1">
        <v>3.88</v>
      </c>
      <c r="G20" s="1">
        <v>3.14</v>
      </c>
      <c r="H20" s="1">
        <v>57.302399999999999</v>
      </c>
      <c r="I20" s="1">
        <v>1</v>
      </c>
      <c r="J20" s="1">
        <v>65</v>
      </c>
    </row>
    <row r="21" spans="1:10" x14ac:dyDescent="0.35">
      <c r="A21" s="1">
        <v>30</v>
      </c>
      <c r="B21" s="1">
        <v>1.5249999999999999</v>
      </c>
      <c r="C21" s="1">
        <v>1.1439999999999999</v>
      </c>
      <c r="D21" s="1">
        <f t="shared" si="0"/>
        <v>2.2879999999999998</v>
      </c>
      <c r="E21" s="1">
        <v>5.22</v>
      </c>
      <c r="F21" s="1">
        <v>27.61</v>
      </c>
      <c r="G21" s="1">
        <v>3.14</v>
      </c>
      <c r="H21" s="1">
        <v>152</v>
      </c>
      <c r="I21" s="1">
        <v>5.0229999999999997E-3</v>
      </c>
      <c r="J21" s="1">
        <v>156</v>
      </c>
    </row>
    <row r="22" spans="1:10" x14ac:dyDescent="0.35">
      <c r="A22" s="1">
        <v>31</v>
      </c>
      <c r="B22" s="1">
        <v>4.57</v>
      </c>
      <c r="C22" s="1">
        <v>3.4279999999999999</v>
      </c>
      <c r="D22" s="1">
        <f t="shared" si="0"/>
        <v>6.8559999999999999</v>
      </c>
      <c r="E22" s="1">
        <v>9.23</v>
      </c>
      <c r="F22" s="1">
        <v>14.71</v>
      </c>
      <c r="G22" s="1">
        <v>3.14</v>
      </c>
      <c r="H22" s="1">
        <v>366</v>
      </c>
      <c r="I22" s="1">
        <v>0.13383700000000001</v>
      </c>
      <c r="J22" s="1">
        <v>373</v>
      </c>
    </row>
    <row r="23" spans="1:10" x14ac:dyDescent="0.35">
      <c r="A23" s="1">
        <v>32</v>
      </c>
      <c r="B23" s="1">
        <v>3.05</v>
      </c>
      <c r="C23" s="1">
        <v>2.2869999999999999</v>
      </c>
      <c r="D23" s="1">
        <f t="shared" si="0"/>
        <v>4.5739999999999998</v>
      </c>
      <c r="E23" s="1">
        <v>2.84</v>
      </c>
      <c r="F23" s="1">
        <v>24.6</v>
      </c>
      <c r="G23" s="1">
        <v>3.14</v>
      </c>
      <c r="H23" s="1">
        <v>168</v>
      </c>
      <c r="I23" s="1">
        <v>1.188E-2</v>
      </c>
      <c r="J23" s="1">
        <v>171</v>
      </c>
    </row>
    <row r="24" spans="1:10" x14ac:dyDescent="0.35">
      <c r="A24" s="1">
        <v>36</v>
      </c>
      <c r="B24" s="1">
        <v>4.57</v>
      </c>
      <c r="C24" s="1">
        <v>3.4279999999999999</v>
      </c>
      <c r="D24" s="1">
        <f t="shared" si="0"/>
        <v>6.8559999999999999</v>
      </c>
      <c r="E24" s="1">
        <v>3.23</v>
      </c>
      <c r="F24" s="1">
        <v>41.2</v>
      </c>
      <c r="G24" s="1">
        <v>3.14</v>
      </c>
      <c r="H24" s="1">
        <v>198</v>
      </c>
      <c r="I24" s="1">
        <v>2.5565999999999998E-2</v>
      </c>
      <c r="J24" s="1">
        <v>201</v>
      </c>
    </row>
    <row r="25" spans="1:10" x14ac:dyDescent="0.35">
      <c r="A25" s="1">
        <v>39</v>
      </c>
      <c r="B25" s="1">
        <v>1.22</v>
      </c>
      <c r="C25" s="1">
        <v>0.91500000000000004</v>
      </c>
      <c r="D25" s="1">
        <f t="shared" si="0"/>
        <v>1.83</v>
      </c>
      <c r="E25" s="1">
        <v>13.8</v>
      </c>
      <c r="F25" s="1">
        <v>36.24</v>
      </c>
      <c r="G25" s="1">
        <v>3.14</v>
      </c>
      <c r="H25" s="1">
        <v>64</v>
      </c>
      <c r="I25" s="1">
        <v>3.3284000000000001E-2</v>
      </c>
      <c r="J25" s="1">
        <v>60</v>
      </c>
    </row>
    <row r="26" spans="1:10" x14ac:dyDescent="0.35">
      <c r="A26" s="1">
        <v>41</v>
      </c>
      <c r="B26" s="1">
        <v>4.57</v>
      </c>
      <c r="C26" s="1">
        <v>3.4279999999999999</v>
      </c>
      <c r="D26" s="1">
        <f t="shared" si="0"/>
        <v>6.8559999999999999</v>
      </c>
      <c r="E26" s="1">
        <v>15.6</v>
      </c>
      <c r="F26" s="1">
        <v>25.44</v>
      </c>
      <c r="G26" s="1">
        <v>3.14</v>
      </c>
      <c r="H26" s="1">
        <v>549</v>
      </c>
      <c r="I26" s="1">
        <v>6.0366999999999997E-2</v>
      </c>
      <c r="J26" s="1">
        <v>555</v>
      </c>
    </row>
    <row r="27" spans="1:10" x14ac:dyDescent="0.35">
      <c r="A27" s="1">
        <v>42</v>
      </c>
      <c r="B27" s="1">
        <v>3.05</v>
      </c>
      <c r="C27" s="1">
        <v>2.2869999999999999</v>
      </c>
      <c r="D27" s="1">
        <f t="shared" si="0"/>
        <v>4.5739999999999998</v>
      </c>
      <c r="E27" s="1">
        <v>9.23</v>
      </c>
      <c r="F27" s="1">
        <v>17.14</v>
      </c>
      <c r="G27" s="1">
        <v>3.14</v>
      </c>
      <c r="H27" s="1">
        <v>152</v>
      </c>
      <c r="I27" s="1">
        <v>0.113026</v>
      </c>
      <c r="J27" s="1">
        <v>149</v>
      </c>
    </row>
    <row r="28" spans="1:10" x14ac:dyDescent="0.35">
      <c r="A28" s="1">
        <v>43</v>
      </c>
      <c r="B28" s="1">
        <v>1.83</v>
      </c>
      <c r="C28" s="1">
        <v>1.373</v>
      </c>
      <c r="D28" s="1">
        <f t="shared" si="0"/>
        <v>2.746</v>
      </c>
      <c r="E28" s="1">
        <v>3.13</v>
      </c>
      <c r="F28" s="1">
        <v>28.55</v>
      </c>
      <c r="G28" s="1">
        <v>3.14</v>
      </c>
      <c r="H28" s="1">
        <v>96</v>
      </c>
      <c r="I28" s="1">
        <v>5.9979999999999999E-3</v>
      </c>
      <c r="J28" s="1">
        <v>104</v>
      </c>
    </row>
    <row r="29" spans="1:10" x14ac:dyDescent="0.35">
      <c r="A29" s="1">
        <v>44</v>
      </c>
      <c r="B29" s="1">
        <v>6</v>
      </c>
      <c r="C29" s="1">
        <v>4.5</v>
      </c>
      <c r="D29" s="1">
        <f t="shared" si="0"/>
        <v>9</v>
      </c>
      <c r="E29" s="1">
        <v>7.0000000000000007E-2</v>
      </c>
      <c r="F29" s="1">
        <v>86</v>
      </c>
      <c r="G29" s="1">
        <v>3.14</v>
      </c>
      <c r="H29" s="1">
        <v>140</v>
      </c>
      <c r="I29" s="1">
        <v>1.7833000000000002E-2</v>
      </c>
      <c r="J29" s="1">
        <v>135</v>
      </c>
    </row>
    <row r="30" spans="1:10" x14ac:dyDescent="0.35">
      <c r="A30" s="1">
        <v>45</v>
      </c>
      <c r="B30" s="1">
        <v>6</v>
      </c>
      <c r="C30" s="1">
        <v>4.5</v>
      </c>
      <c r="D30" s="1">
        <f t="shared" si="0"/>
        <v>9</v>
      </c>
      <c r="E30" s="1">
        <v>0.04</v>
      </c>
      <c r="F30" s="1">
        <v>86</v>
      </c>
      <c r="G30" s="1">
        <v>3.14</v>
      </c>
      <c r="H30" s="1">
        <v>90</v>
      </c>
      <c r="I30" s="1">
        <v>1.9765999999999999E-2</v>
      </c>
      <c r="J30" s="1">
        <v>99</v>
      </c>
    </row>
    <row r="31" spans="1:10" x14ac:dyDescent="0.35">
      <c r="A31" s="1">
        <v>46</v>
      </c>
      <c r="B31" s="1">
        <v>6</v>
      </c>
      <c r="C31" s="1">
        <v>4.5</v>
      </c>
      <c r="D31" s="1">
        <f t="shared" si="0"/>
        <v>9</v>
      </c>
      <c r="E31" s="1">
        <v>1.3</v>
      </c>
      <c r="F31" s="1">
        <v>86</v>
      </c>
      <c r="G31" s="1">
        <v>3.14</v>
      </c>
      <c r="H31" s="1">
        <v>120</v>
      </c>
      <c r="I31" s="1">
        <v>2.3633000000000001E-2</v>
      </c>
      <c r="J31" s="1">
        <v>118</v>
      </c>
    </row>
    <row r="32" spans="1:10" x14ac:dyDescent="0.35">
      <c r="A32" s="1">
        <v>47</v>
      </c>
      <c r="B32" s="1">
        <v>6</v>
      </c>
      <c r="C32" s="1">
        <v>4.5</v>
      </c>
      <c r="D32" s="1">
        <f t="shared" si="0"/>
        <v>9</v>
      </c>
      <c r="E32" s="1">
        <v>2.4</v>
      </c>
      <c r="F32" s="1">
        <v>92</v>
      </c>
      <c r="G32" s="1">
        <v>3.14</v>
      </c>
      <c r="H32" s="1">
        <v>90</v>
      </c>
      <c r="I32" s="1">
        <v>5.6501000000000003E-2</v>
      </c>
      <c r="J32" s="1">
        <v>91</v>
      </c>
    </row>
    <row r="33" spans="1:10" x14ac:dyDescent="0.35">
      <c r="A33" s="1">
        <v>48</v>
      </c>
      <c r="B33" s="1">
        <v>6</v>
      </c>
      <c r="C33" s="1">
        <v>4.5</v>
      </c>
      <c r="D33" s="1">
        <f t="shared" si="0"/>
        <v>9</v>
      </c>
      <c r="E33" s="1">
        <v>1.4</v>
      </c>
      <c r="F33" s="1">
        <v>92</v>
      </c>
      <c r="G33" s="1">
        <v>3.14</v>
      </c>
      <c r="H33" s="1">
        <v>60</v>
      </c>
      <c r="I33" s="1">
        <v>7.1968000000000004E-2</v>
      </c>
      <c r="J33" s="1">
        <v>51</v>
      </c>
    </row>
    <row r="34" spans="1:10" x14ac:dyDescent="0.35">
      <c r="A34" s="1">
        <v>49</v>
      </c>
      <c r="B34" s="1">
        <v>6</v>
      </c>
      <c r="C34" s="1">
        <v>4.5</v>
      </c>
      <c r="D34" s="1">
        <f t="shared" si="0"/>
        <v>9</v>
      </c>
      <c r="E34" s="1">
        <v>0.7</v>
      </c>
      <c r="F34" s="1">
        <v>92</v>
      </c>
      <c r="G34" s="1">
        <v>3.14</v>
      </c>
      <c r="H34" s="1">
        <v>90</v>
      </c>
      <c r="I34" s="1">
        <v>2.5565999999999998E-2</v>
      </c>
      <c r="J34" s="1">
        <v>91</v>
      </c>
    </row>
    <row r="35" spans="1:10" x14ac:dyDescent="0.35">
      <c r="A35" s="1">
        <v>52</v>
      </c>
      <c r="B35" s="1">
        <v>7.5</v>
      </c>
      <c r="C35" s="1">
        <v>5.625</v>
      </c>
      <c r="D35" s="1">
        <f t="shared" si="0"/>
        <v>11.25</v>
      </c>
      <c r="E35" s="1">
        <v>0.31</v>
      </c>
      <c r="F35" s="1">
        <v>203</v>
      </c>
      <c r="G35" s="1">
        <v>3.14</v>
      </c>
      <c r="H35" s="1">
        <v>160</v>
      </c>
      <c r="I35" s="1">
        <v>2.8589E-2</v>
      </c>
      <c r="J35" s="1">
        <v>167</v>
      </c>
    </row>
    <row r="36" spans="1:10" x14ac:dyDescent="0.35">
      <c r="A36" s="1">
        <v>55</v>
      </c>
      <c r="B36" s="1">
        <v>3.7</v>
      </c>
      <c r="C36" s="1">
        <v>2.7749999999999999</v>
      </c>
      <c r="D36" s="1">
        <f t="shared" si="0"/>
        <v>5.55</v>
      </c>
      <c r="E36" s="1">
        <v>123</v>
      </c>
      <c r="F36" s="1">
        <v>1402.6</v>
      </c>
      <c r="G36" s="1">
        <v>3.14</v>
      </c>
      <c r="H36" s="1">
        <v>200</v>
      </c>
      <c r="I36" s="1">
        <v>1.9661000000000001E-2</v>
      </c>
      <c r="J36" s="1">
        <v>203</v>
      </c>
    </row>
    <row r="37" spans="1:10" x14ac:dyDescent="0.35">
      <c r="A37" s="1">
        <v>56</v>
      </c>
      <c r="B37" s="1">
        <v>3</v>
      </c>
      <c r="C37" s="1">
        <v>2.25</v>
      </c>
      <c r="D37" s="1">
        <f t="shared" si="0"/>
        <v>4.5</v>
      </c>
      <c r="E37" s="1">
        <v>230</v>
      </c>
      <c r="F37" s="1">
        <v>655.9</v>
      </c>
      <c r="G37" s="1">
        <v>3.14</v>
      </c>
      <c r="H37" s="1">
        <v>500</v>
      </c>
      <c r="I37" s="1">
        <v>1.3825E-2</v>
      </c>
      <c r="J37" s="1">
        <v>498</v>
      </c>
    </row>
    <row r="38" spans="1:10" x14ac:dyDescent="0.35">
      <c r="A38" s="1">
        <v>57</v>
      </c>
      <c r="B38" s="1">
        <v>5</v>
      </c>
      <c r="C38" s="1">
        <v>3.75</v>
      </c>
      <c r="D38" s="1">
        <f t="shared" si="0"/>
        <v>7.5</v>
      </c>
      <c r="E38" s="1">
        <v>0.01</v>
      </c>
      <c r="F38" s="1">
        <v>4</v>
      </c>
      <c r="G38" s="1">
        <v>3.14</v>
      </c>
      <c r="H38" s="1">
        <v>100</v>
      </c>
      <c r="I38" s="1">
        <v>1.2999E-2</v>
      </c>
      <c r="J38" s="1">
        <v>98</v>
      </c>
    </row>
    <row r="43" spans="1:10" x14ac:dyDescent="0.35">
      <c r="A43" t="s">
        <v>1</v>
      </c>
    </row>
    <row r="44" spans="1:10" x14ac:dyDescent="0.35">
      <c r="A44" t="s">
        <v>424</v>
      </c>
    </row>
    <row r="45" spans="1:10" x14ac:dyDescent="0.35">
      <c r="A45" t="s">
        <v>425</v>
      </c>
    </row>
    <row r="46" spans="1:10" x14ac:dyDescent="0.35">
      <c r="A46" t="s">
        <v>426</v>
      </c>
    </row>
    <row r="47" spans="1:10" x14ac:dyDescent="0.35">
      <c r="A47" t="s">
        <v>427</v>
      </c>
    </row>
    <row r="48" spans="1:10" x14ac:dyDescent="0.35">
      <c r="A48" t="s">
        <v>428</v>
      </c>
    </row>
    <row r="49" spans="1:1" x14ac:dyDescent="0.35">
      <c r="A49" t="s">
        <v>429</v>
      </c>
    </row>
    <row r="50" spans="1:1" x14ac:dyDescent="0.35">
      <c r="A50" t="s">
        <v>430</v>
      </c>
    </row>
    <row r="51" spans="1:1" x14ac:dyDescent="0.35">
      <c r="A51" t="s">
        <v>431</v>
      </c>
    </row>
    <row r="52" spans="1:1" x14ac:dyDescent="0.35">
      <c r="A52" t="s">
        <v>432</v>
      </c>
    </row>
    <row r="53" spans="1:1" x14ac:dyDescent="0.35">
      <c r="A53" t="s">
        <v>433</v>
      </c>
    </row>
    <row r="54" spans="1:1" x14ac:dyDescent="0.35">
      <c r="A54" t="s">
        <v>434</v>
      </c>
    </row>
    <row r="55" spans="1:1" x14ac:dyDescent="0.35">
      <c r="A55" t="s">
        <v>435</v>
      </c>
    </row>
    <row r="56" spans="1:1" x14ac:dyDescent="0.35">
      <c r="A56" t="s">
        <v>436</v>
      </c>
    </row>
    <row r="57" spans="1:1" x14ac:dyDescent="0.35">
      <c r="A57" t="s">
        <v>437</v>
      </c>
    </row>
    <row r="58" spans="1:1" x14ac:dyDescent="0.35">
      <c r="A58" t="s">
        <v>438</v>
      </c>
    </row>
    <row r="59" spans="1:1" x14ac:dyDescent="0.35">
      <c r="A59" t="s">
        <v>439</v>
      </c>
    </row>
    <row r="60" spans="1:1" x14ac:dyDescent="0.35">
      <c r="A60" t="s">
        <v>440</v>
      </c>
    </row>
    <row r="61" spans="1:1" x14ac:dyDescent="0.35">
      <c r="A61" t="s">
        <v>441</v>
      </c>
    </row>
    <row r="62" spans="1:1" x14ac:dyDescent="0.35">
      <c r="A62" t="s">
        <v>442</v>
      </c>
    </row>
    <row r="63" spans="1:1" x14ac:dyDescent="0.35">
      <c r="A63" t="s">
        <v>443</v>
      </c>
    </row>
    <row r="64" spans="1:1" x14ac:dyDescent="0.35">
      <c r="A64" t="s">
        <v>444</v>
      </c>
    </row>
    <row r="65" spans="1:1" x14ac:dyDescent="0.35">
      <c r="A65" t="s">
        <v>445</v>
      </c>
    </row>
    <row r="66" spans="1:1" x14ac:dyDescent="0.35">
      <c r="A66" t="s">
        <v>446</v>
      </c>
    </row>
    <row r="67" spans="1:1" x14ac:dyDescent="0.35">
      <c r="A67" t="s">
        <v>447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96E25-EA7D-49AE-9351-F7F3A430D17F}">
  <dimension ref="A1:J66"/>
  <sheetViews>
    <sheetView workbookViewId="0">
      <selection sqref="A1:XFD1"/>
    </sheetView>
  </sheetViews>
  <sheetFormatPr defaultRowHeight="14.5" x14ac:dyDescent="0.35"/>
  <cols>
    <col min="4" max="4" width="18.08984375" customWidth="1"/>
    <col min="9" max="9" width="14.1796875" customWidth="1"/>
  </cols>
  <sheetData>
    <row r="1" spans="1:10" x14ac:dyDescent="0.35">
      <c r="A1" s="2" t="s">
        <v>345</v>
      </c>
      <c r="B1" s="2" t="s">
        <v>344</v>
      </c>
      <c r="C1" s="2" t="s">
        <v>343</v>
      </c>
      <c r="D1" s="2" t="s">
        <v>572</v>
      </c>
      <c r="E1" s="2" t="s">
        <v>342</v>
      </c>
      <c r="F1" s="2" t="s">
        <v>341</v>
      </c>
      <c r="G1" s="2" t="s">
        <v>340</v>
      </c>
      <c r="H1" s="2" t="s">
        <v>339</v>
      </c>
      <c r="I1" s="2" t="s">
        <v>573</v>
      </c>
      <c r="J1" s="2" t="s">
        <v>338</v>
      </c>
    </row>
    <row r="2" spans="1:10" x14ac:dyDescent="0.35">
      <c r="A2" s="1">
        <v>1</v>
      </c>
      <c r="B2" s="1">
        <v>4.5720000000000001</v>
      </c>
      <c r="C2" s="1">
        <v>4.5720000000000001</v>
      </c>
      <c r="D2" s="1">
        <f>2*C2</f>
        <v>9.1440000000000001</v>
      </c>
      <c r="E2" s="1">
        <v>3.55</v>
      </c>
      <c r="F2" s="1">
        <v>37.67</v>
      </c>
      <c r="G2" s="1">
        <v>4.477132997</v>
      </c>
      <c r="H2" s="1">
        <v>274.32</v>
      </c>
      <c r="I2" s="1">
        <v>2.3633000000000001E-2</v>
      </c>
      <c r="J2" s="1">
        <v>266</v>
      </c>
    </row>
    <row r="3" spans="1:10" x14ac:dyDescent="0.35">
      <c r="A3" s="1">
        <v>2</v>
      </c>
      <c r="B3" s="1">
        <v>1.524</v>
      </c>
      <c r="C3" s="1">
        <v>1.524</v>
      </c>
      <c r="D3" s="1">
        <f t="shared" ref="D3:D43" si="0">2*C3</f>
        <v>3.048</v>
      </c>
      <c r="E3" s="1">
        <v>28</v>
      </c>
      <c r="F3" s="1">
        <v>106.35</v>
      </c>
      <c r="G3" s="1">
        <v>4.6467418900000004</v>
      </c>
      <c r="H3" s="1">
        <v>228.6</v>
      </c>
      <c r="I3" s="1">
        <v>9.8960000000000003E-3</v>
      </c>
      <c r="J3" s="1">
        <v>224</v>
      </c>
    </row>
    <row r="4" spans="1:10" x14ac:dyDescent="0.35">
      <c r="A4" s="1">
        <v>4</v>
      </c>
      <c r="B4" s="1">
        <v>3.048</v>
      </c>
      <c r="C4" s="1">
        <v>3.048</v>
      </c>
      <c r="D4" s="1">
        <f t="shared" si="0"/>
        <v>6.0960000000000001</v>
      </c>
      <c r="E4" s="1">
        <v>43.28</v>
      </c>
      <c r="F4" s="1">
        <v>103.4</v>
      </c>
      <c r="G4" s="1">
        <v>4.6659477760000003</v>
      </c>
      <c r="H4" s="1">
        <v>213.36</v>
      </c>
      <c r="I4" s="1">
        <v>9.7464999999999996E-2</v>
      </c>
      <c r="J4" s="1">
        <v>221</v>
      </c>
    </row>
    <row r="5" spans="1:10" x14ac:dyDescent="0.35">
      <c r="A5" s="1">
        <v>5</v>
      </c>
      <c r="B5" s="1">
        <v>1.524</v>
      </c>
      <c r="C5" s="1">
        <v>1.524</v>
      </c>
      <c r="D5" s="1">
        <f t="shared" si="0"/>
        <v>3.048</v>
      </c>
      <c r="E5" s="1">
        <v>5.26</v>
      </c>
      <c r="F5" s="1">
        <v>19.79</v>
      </c>
      <c r="G5" s="1">
        <v>3.9056695299999999</v>
      </c>
      <c r="H5" s="1">
        <v>259.08</v>
      </c>
      <c r="I5" s="1">
        <v>6.4850000000000003E-3</v>
      </c>
      <c r="J5" s="1">
        <v>264</v>
      </c>
    </row>
    <row r="6" spans="1:10" x14ac:dyDescent="0.35">
      <c r="A6" s="1">
        <v>6</v>
      </c>
      <c r="B6" s="1">
        <v>3.81</v>
      </c>
      <c r="C6" s="1">
        <v>3.81</v>
      </c>
      <c r="D6" s="1">
        <f t="shared" si="0"/>
        <v>7.62</v>
      </c>
      <c r="E6" s="1">
        <v>4.03</v>
      </c>
      <c r="F6" s="1">
        <v>35.049999999999997</v>
      </c>
      <c r="G6" s="1">
        <v>4.584194009</v>
      </c>
      <c r="H6" s="1">
        <v>91.44</v>
      </c>
      <c r="I6" s="1">
        <v>7.1968000000000004E-2</v>
      </c>
      <c r="J6" s="1">
        <v>86</v>
      </c>
    </row>
    <row r="7" spans="1:10" x14ac:dyDescent="0.35">
      <c r="A7" s="1">
        <v>7</v>
      </c>
      <c r="B7" s="1">
        <v>2.286</v>
      </c>
      <c r="C7" s="1">
        <v>2.286</v>
      </c>
      <c r="D7" s="1">
        <f t="shared" si="0"/>
        <v>4.5720000000000001</v>
      </c>
      <c r="E7" s="1">
        <v>14.1</v>
      </c>
      <c r="F7" s="1">
        <v>1004.04</v>
      </c>
      <c r="G7" s="1">
        <v>4.7250808729999996</v>
      </c>
      <c r="H7" s="1">
        <v>146.304</v>
      </c>
      <c r="I7" s="1">
        <v>4.1000000000000003E-3</v>
      </c>
      <c r="J7" s="1">
        <v>140</v>
      </c>
    </row>
    <row r="8" spans="1:10" x14ac:dyDescent="0.35">
      <c r="A8" s="1">
        <v>8</v>
      </c>
      <c r="B8" s="1">
        <v>1.524</v>
      </c>
      <c r="C8" s="1">
        <v>1.524</v>
      </c>
      <c r="D8" s="1">
        <f t="shared" si="0"/>
        <v>3.048</v>
      </c>
      <c r="E8" s="1">
        <v>29.64</v>
      </c>
      <c r="F8" s="1">
        <v>113.77</v>
      </c>
      <c r="G8" s="1">
        <v>4.7059998240000001</v>
      </c>
      <c r="H8" s="1">
        <v>76.2</v>
      </c>
      <c r="I8" s="1">
        <v>3.3284000000000001E-2</v>
      </c>
      <c r="J8" s="1">
        <v>86</v>
      </c>
    </row>
    <row r="9" spans="1:10" x14ac:dyDescent="0.35">
      <c r="A9" s="1">
        <v>9</v>
      </c>
      <c r="B9" s="1">
        <v>3.81</v>
      </c>
      <c r="C9" s="1">
        <v>3.81</v>
      </c>
      <c r="D9" s="1">
        <f t="shared" si="0"/>
        <v>7.62</v>
      </c>
      <c r="E9" s="1">
        <v>0.68</v>
      </c>
      <c r="F9" s="1">
        <v>68.94</v>
      </c>
      <c r="G9" s="1">
        <v>4.6965506240000003</v>
      </c>
      <c r="H9" s="1">
        <v>106.68</v>
      </c>
      <c r="I9" s="1">
        <v>1.3965999999999999E-2</v>
      </c>
      <c r="J9" s="1">
        <v>109</v>
      </c>
    </row>
    <row r="10" spans="1:10" x14ac:dyDescent="0.35">
      <c r="A10" s="1">
        <v>10</v>
      </c>
      <c r="B10" s="1">
        <v>5.3339999999999996</v>
      </c>
      <c r="C10" s="1">
        <v>5.3339999999999996</v>
      </c>
      <c r="D10" s="1">
        <f t="shared" si="0"/>
        <v>10.667999999999999</v>
      </c>
      <c r="E10" s="1">
        <v>18.27</v>
      </c>
      <c r="F10" s="1">
        <v>87.41</v>
      </c>
      <c r="G10" s="1">
        <v>4.7078686650000003</v>
      </c>
      <c r="H10" s="1">
        <v>350.52</v>
      </c>
      <c r="I10" s="1">
        <v>5.8375000000000003E-2</v>
      </c>
      <c r="J10" s="1">
        <v>355</v>
      </c>
    </row>
    <row r="11" spans="1:10" x14ac:dyDescent="0.35">
      <c r="A11" s="1">
        <v>12</v>
      </c>
      <c r="B11" s="1">
        <v>1.524</v>
      </c>
      <c r="C11" s="1">
        <v>1.524</v>
      </c>
      <c r="D11" s="1">
        <f t="shared" si="0"/>
        <v>3.048</v>
      </c>
      <c r="E11" s="1">
        <v>0.123</v>
      </c>
      <c r="F11" s="1">
        <v>248.76</v>
      </c>
      <c r="G11" s="1">
        <v>4.6960162409999997</v>
      </c>
      <c r="H11" s="1">
        <v>42.671999999999997</v>
      </c>
      <c r="I11" s="1">
        <v>2.5869999999999999E-3</v>
      </c>
      <c r="J11" s="1">
        <v>36</v>
      </c>
    </row>
    <row r="12" spans="1:10" x14ac:dyDescent="0.35">
      <c r="A12" s="1">
        <v>13</v>
      </c>
      <c r="B12" s="1">
        <v>1.524</v>
      </c>
      <c r="C12" s="1">
        <v>1.524</v>
      </c>
      <c r="D12" s="1">
        <f t="shared" si="0"/>
        <v>3.048</v>
      </c>
      <c r="E12" s="1">
        <v>12.84</v>
      </c>
      <c r="F12" s="1">
        <v>29.26</v>
      </c>
      <c r="G12" s="1">
        <v>4.4282638409999997</v>
      </c>
      <c r="H12" s="1">
        <v>109.72799999999999</v>
      </c>
      <c r="I12" s="1">
        <v>6.4468999999999999E-2</v>
      </c>
      <c r="J12" s="1">
        <v>100</v>
      </c>
    </row>
    <row r="13" spans="1:10" x14ac:dyDescent="0.35">
      <c r="A13" s="1">
        <v>14</v>
      </c>
      <c r="B13" s="1">
        <v>3.81</v>
      </c>
      <c r="C13" s="1">
        <v>3.81</v>
      </c>
      <c r="D13" s="1">
        <f t="shared" si="0"/>
        <v>7.62</v>
      </c>
      <c r="E13" s="1">
        <v>8.18</v>
      </c>
      <c r="F13" s="1">
        <v>23.9</v>
      </c>
      <c r="G13" s="1">
        <v>4.2098326359999998</v>
      </c>
      <c r="H13" s="1">
        <v>219.45599999999999</v>
      </c>
      <c r="I13" s="1">
        <v>8.7434999999999999E-2</v>
      </c>
      <c r="J13" s="1">
        <v>229</v>
      </c>
    </row>
    <row r="14" spans="1:10" x14ac:dyDescent="0.35">
      <c r="A14" s="1">
        <v>15</v>
      </c>
      <c r="B14" s="1">
        <v>1.524</v>
      </c>
      <c r="C14" s="1">
        <v>1.524</v>
      </c>
      <c r="D14" s="1">
        <f t="shared" si="0"/>
        <v>3.048</v>
      </c>
      <c r="E14" s="1">
        <v>13.8</v>
      </c>
      <c r="F14" s="1">
        <v>57.76</v>
      </c>
      <c r="G14" s="1">
        <v>4.5061634350000004</v>
      </c>
      <c r="H14" s="1">
        <v>96.012</v>
      </c>
      <c r="I14" s="1">
        <v>2.5488E-2</v>
      </c>
      <c r="J14" s="1">
        <v>89</v>
      </c>
    </row>
    <row r="15" spans="1:10" x14ac:dyDescent="0.35">
      <c r="A15" s="1">
        <v>16</v>
      </c>
      <c r="B15" s="1">
        <v>3.048</v>
      </c>
      <c r="C15" s="1">
        <v>3.048</v>
      </c>
      <c r="D15" s="1">
        <f t="shared" si="0"/>
        <v>6.0960000000000001</v>
      </c>
      <c r="E15" s="1">
        <v>13.118</v>
      </c>
      <c r="F15" s="1">
        <v>77.8</v>
      </c>
      <c r="G15" s="1">
        <v>4.5751233930000001</v>
      </c>
      <c r="H15" s="1">
        <v>53.34</v>
      </c>
      <c r="I15" s="1">
        <v>0.12858700000000001</v>
      </c>
      <c r="J15" s="1">
        <v>58</v>
      </c>
    </row>
    <row r="16" spans="1:10" x14ac:dyDescent="0.35">
      <c r="A16" s="1">
        <v>17</v>
      </c>
      <c r="B16" s="1">
        <v>2.286</v>
      </c>
      <c r="C16" s="1">
        <v>2.286</v>
      </c>
      <c r="D16" s="1">
        <f t="shared" si="0"/>
        <v>4.5720000000000001</v>
      </c>
      <c r="E16" s="1">
        <v>84.9</v>
      </c>
      <c r="F16" s="1">
        <v>97.662999999999997</v>
      </c>
      <c r="G16" s="1">
        <v>4.5985767380000002</v>
      </c>
      <c r="H16" s="1">
        <v>128.01599999999999</v>
      </c>
      <c r="I16" s="1">
        <v>1</v>
      </c>
      <c r="J16" s="1">
        <v>129</v>
      </c>
    </row>
    <row r="17" spans="1:10" x14ac:dyDescent="0.35">
      <c r="A17" s="1">
        <v>18</v>
      </c>
      <c r="B17" s="1">
        <v>3.81</v>
      </c>
      <c r="C17" s="1">
        <v>3.81</v>
      </c>
      <c r="D17" s="1">
        <f t="shared" si="0"/>
        <v>7.62</v>
      </c>
      <c r="E17" s="1">
        <v>22.9</v>
      </c>
      <c r="F17" s="1">
        <v>90.85</v>
      </c>
      <c r="G17" s="1">
        <v>4.6255365990000001</v>
      </c>
      <c r="H17" s="1">
        <v>914.4</v>
      </c>
      <c r="I17" s="1">
        <v>1.3481999999999999E-2</v>
      </c>
      <c r="J17" s="1">
        <v>917</v>
      </c>
    </row>
    <row r="18" spans="1:10" x14ac:dyDescent="0.35">
      <c r="A18" s="1">
        <v>19</v>
      </c>
      <c r="B18" s="1">
        <v>4.5720000000000001</v>
      </c>
      <c r="C18" s="1">
        <v>4.5720000000000001</v>
      </c>
      <c r="D18" s="1">
        <f t="shared" si="0"/>
        <v>9.1440000000000001</v>
      </c>
      <c r="E18" s="1">
        <v>49.3</v>
      </c>
      <c r="F18" s="1">
        <v>107.76</v>
      </c>
      <c r="G18" s="1">
        <v>4.6535913139999998</v>
      </c>
      <c r="H18" s="1">
        <v>192.024</v>
      </c>
      <c r="I18" s="1">
        <v>0.38131199999999998</v>
      </c>
      <c r="J18" s="1">
        <v>192</v>
      </c>
    </row>
    <row r="19" spans="1:10" x14ac:dyDescent="0.35">
      <c r="A19" s="1">
        <v>21</v>
      </c>
      <c r="B19" s="1">
        <v>2.286</v>
      </c>
      <c r="C19" s="1">
        <v>2.286</v>
      </c>
      <c r="D19" s="1">
        <f t="shared" si="0"/>
        <v>4.5720000000000001</v>
      </c>
      <c r="E19" s="1">
        <v>0.46899999999999997</v>
      </c>
      <c r="F19" s="1">
        <v>454.56</v>
      </c>
      <c r="G19" s="1">
        <v>4.6953819079999999</v>
      </c>
      <c r="H19" s="1">
        <v>60.96</v>
      </c>
      <c r="I19" s="1">
        <v>5.0720000000000001E-3</v>
      </c>
      <c r="J19" s="1">
        <v>61</v>
      </c>
    </row>
    <row r="20" spans="1:10" x14ac:dyDescent="0.35">
      <c r="A20" s="1">
        <v>22</v>
      </c>
      <c r="B20" s="1">
        <v>2.286</v>
      </c>
      <c r="C20" s="1">
        <v>2.286</v>
      </c>
      <c r="D20" s="1">
        <f t="shared" si="0"/>
        <v>4.5720000000000001</v>
      </c>
      <c r="E20" s="1">
        <v>20.95</v>
      </c>
      <c r="F20" s="1">
        <v>25.72</v>
      </c>
      <c r="G20" s="1">
        <v>4.2883359250000002</v>
      </c>
      <c r="H20" s="1">
        <v>106.68</v>
      </c>
      <c r="I20" s="1">
        <v>1</v>
      </c>
      <c r="J20" s="1">
        <v>104</v>
      </c>
    </row>
    <row r="21" spans="1:10" x14ac:dyDescent="0.35">
      <c r="A21" s="1">
        <v>24</v>
      </c>
      <c r="B21" s="1">
        <v>3.048</v>
      </c>
      <c r="C21" s="1">
        <v>3.048</v>
      </c>
      <c r="D21" s="1">
        <f t="shared" si="0"/>
        <v>6.0960000000000001</v>
      </c>
      <c r="E21" s="1">
        <v>67</v>
      </c>
      <c r="F21" s="1">
        <v>2013.26</v>
      </c>
      <c r="G21" s="1">
        <v>4.7283187470000003</v>
      </c>
      <c r="H21" s="1">
        <v>207.26400000000001</v>
      </c>
      <c r="I21" s="1">
        <v>7.5040000000000003E-3</v>
      </c>
      <c r="J21" s="1">
        <v>209</v>
      </c>
    </row>
    <row r="22" spans="1:10" x14ac:dyDescent="0.35">
      <c r="A22" s="1">
        <v>25</v>
      </c>
      <c r="B22" s="1">
        <v>1.524</v>
      </c>
      <c r="C22" s="1">
        <v>1.524</v>
      </c>
      <c r="D22" s="1">
        <f t="shared" si="0"/>
        <v>3.048</v>
      </c>
      <c r="E22" s="1">
        <v>7.1900000000000006E-2</v>
      </c>
      <c r="F22" s="1">
        <v>39.783000000000001</v>
      </c>
      <c r="G22" s="1">
        <v>4.4486338390000002</v>
      </c>
      <c r="H22" s="1">
        <v>67.055999999999997</v>
      </c>
      <c r="I22" s="1">
        <v>2.0999999999999999E-3</v>
      </c>
      <c r="J22" s="1">
        <v>60</v>
      </c>
    </row>
    <row r="23" spans="1:10" x14ac:dyDescent="0.35">
      <c r="A23" s="1">
        <v>30</v>
      </c>
      <c r="B23" s="1">
        <v>1.5249999999999999</v>
      </c>
      <c r="C23" s="1">
        <v>1.5249999999999999</v>
      </c>
      <c r="D23" s="1">
        <f t="shared" si="0"/>
        <v>3.05</v>
      </c>
      <c r="E23" s="1">
        <v>5.22</v>
      </c>
      <c r="F23" s="1">
        <v>27.61</v>
      </c>
      <c r="G23" s="1">
        <v>4.467656646</v>
      </c>
      <c r="H23" s="1">
        <v>152</v>
      </c>
      <c r="I23" s="1">
        <v>9.8960000000000003E-3</v>
      </c>
      <c r="J23" s="1">
        <v>145</v>
      </c>
    </row>
    <row r="24" spans="1:10" x14ac:dyDescent="0.35">
      <c r="A24" s="1">
        <v>31</v>
      </c>
      <c r="B24" s="1">
        <v>4.57</v>
      </c>
      <c r="C24" s="1">
        <v>4.57</v>
      </c>
      <c r="D24" s="1">
        <f t="shared" si="0"/>
        <v>9.14</v>
      </c>
      <c r="E24" s="1">
        <v>9.23</v>
      </c>
      <c r="F24" s="1">
        <v>14.71</v>
      </c>
      <c r="G24" s="1">
        <v>4.5438341260000001</v>
      </c>
      <c r="H24" s="1">
        <v>366</v>
      </c>
      <c r="I24" s="1">
        <v>0.27304099999999998</v>
      </c>
      <c r="J24" s="1">
        <v>364</v>
      </c>
    </row>
    <row r="25" spans="1:10" x14ac:dyDescent="0.35">
      <c r="A25" s="1">
        <v>32</v>
      </c>
      <c r="B25" s="1">
        <v>3.05</v>
      </c>
      <c r="C25" s="1">
        <v>3.05</v>
      </c>
      <c r="D25" s="1">
        <f t="shared" si="0"/>
        <v>6.1</v>
      </c>
      <c r="E25" s="1">
        <v>2.84</v>
      </c>
      <c r="F25" s="1">
        <v>24.6</v>
      </c>
      <c r="G25" s="1">
        <v>4.9722764230000003</v>
      </c>
      <c r="H25" s="1">
        <v>168</v>
      </c>
      <c r="I25" s="1">
        <v>2.3550999999999999E-2</v>
      </c>
      <c r="J25" s="1">
        <v>158</v>
      </c>
    </row>
    <row r="26" spans="1:10" x14ac:dyDescent="0.35">
      <c r="A26" s="1">
        <v>36</v>
      </c>
      <c r="B26" s="1">
        <v>4.57</v>
      </c>
      <c r="C26" s="1">
        <v>4.57</v>
      </c>
      <c r="D26" s="1">
        <f t="shared" si="0"/>
        <v>9.14</v>
      </c>
      <c r="E26" s="1">
        <v>3.23</v>
      </c>
      <c r="F26" s="1">
        <v>41.2</v>
      </c>
      <c r="G26" s="1">
        <v>8.0795631070000002</v>
      </c>
      <c r="H26" s="1">
        <v>198</v>
      </c>
      <c r="I26" s="1">
        <v>4.8766999999999998E-2</v>
      </c>
      <c r="J26" s="1">
        <v>194</v>
      </c>
    </row>
    <row r="27" spans="1:10" x14ac:dyDescent="0.35">
      <c r="A27" s="1">
        <v>38</v>
      </c>
      <c r="B27" s="1">
        <v>1.22</v>
      </c>
      <c r="C27" s="1">
        <v>1.22</v>
      </c>
      <c r="D27" s="1">
        <f t="shared" si="0"/>
        <v>2.44</v>
      </c>
      <c r="E27" s="1">
        <v>0.96</v>
      </c>
      <c r="F27" s="1">
        <v>1456.05</v>
      </c>
      <c r="G27" s="1">
        <v>4.727298513</v>
      </c>
      <c r="H27" s="1">
        <v>30</v>
      </c>
      <c r="I27" s="1">
        <v>2.0999999999999999E-3</v>
      </c>
      <c r="J27" s="1">
        <v>23</v>
      </c>
    </row>
    <row r="28" spans="1:10" x14ac:dyDescent="0.35">
      <c r="A28" s="1">
        <v>39</v>
      </c>
      <c r="B28" s="1">
        <v>1.22</v>
      </c>
      <c r="C28" s="1">
        <v>1.22</v>
      </c>
      <c r="D28" s="1">
        <f t="shared" si="0"/>
        <v>2.44</v>
      </c>
      <c r="E28" s="1">
        <v>13.8</v>
      </c>
      <c r="F28" s="1">
        <v>36.24</v>
      </c>
      <c r="G28" s="1">
        <v>4.4247516559999998</v>
      </c>
      <c r="H28" s="1">
        <v>64</v>
      </c>
      <c r="I28" s="1">
        <v>6.4468999999999999E-2</v>
      </c>
      <c r="J28" s="1">
        <v>59</v>
      </c>
    </row>
    <row r="29" spans="1:10" x14ac:dyDescent="0.35">
      <c r="A29" s="1">
        <v>41</v>
      </c>
      <c r="B29" s="1">
        <v>4.57</v>
      </c>
      <c r="C29" s="1">
        <v>4.57</v>
      </c>
      <c r="D29" s="1">
        <f t="shared" si="0"/>
        <v>9.14</v>
      </c>
      <c r="E29" s="1">
        <v>15.6</v>
      </c>
      <c r="F29" s="1">
        <v>25.44</v>
      </c>
      <c r="G29" s="1">
        <v>4.1008058180000004</v>
      </c>
      <c r="H29" s="1">
        <v>549</v>
      </c>
      <c r="I29" s="1">
        <v>0.11450299999999999</v>
      </c>
      <c r="J29" s="1">
        <v>552</v>
      </c>
    </row>
    <row r="30" spans="1:10" x14ac:dyDescent="0.35">
      <c r="A30" s="1">
        <v>42</v>
      </c>
      <c r="B30" s="1">
        <v>3.05</v>
      </c>
      <c r="C30" s="1">
        <v>3.05</v>
      </c>
      <c r="D30" s="1">
        <f t="shared" si="0"/>
        <v>6.1</v>
      </c>
      <c r="E30" s="1">
        <v>9.23</v>
      </c>
      <c r="F30" s="1">
        <v>17.14</v>
      </c>
      <c r="G30" s="1">
        <v>4.0302742120000001</v>
      </c>
      <c r="H30" s="1">
        <v>152</v>
      </c>
      <c r="I30" s="1">
        <v>0.22195300000000001</v>
      </c>
      <c r="J30" s="1">
        <v>150</v>
      </c>
    </row>
    <row r="31" spans="1:10" x14ac:dyDescent="0.35">
      <c r="A31" s="1">
        <v>43</v>
      </c>
      <c r="B31" s="1">
        <v>1.83</v>
      </c>
      <c r="C31" s="1">
        <v>1.83</v>
      </c>
      <c r="D31" s="1">
        <f t="shared" si="0"/>
        <v>3.66</v>
      </c>
      <c r="E31" s="1">
        <v>3.13</v>
      </c>
      <c r="F31" s="1">
        <v>28.55</v>
      </c>
      <c r="G31" s="1">
        <v>4.3490367780000003</v>
      </c>
      <c r="H31" s="1">
        <v>96</v>
      </c>
      <c r="I31" s="1">
        <v>1.1845E-2</v>
      </c>
      <c r="J31" s="1">
        <v>96</v>
      </c>
    </row>
    <row r="32" spans="1:10" x14ac:dyDescent="0.35">
      <c r="A32" s="1">
        <v>44</v>
      </c>
      <c r="B32" s="1">
        <v>6</v>
      </c>
      <c r="C32" s="1">
        <v>6</v>
      </c>
      <c r="D32" s="1">
        <f t="shared" si="0"/>
        <v>12</v>
      </c>
      <c r="E32" s="1">
        <v>7.0000000000000007E-2</v>
      </c>
      <c r="F32" s="1">
        <v>86</v>
      </c>
      <c r="G32" s="1">
        <v>8.6</v>
      </c>
      <c r="H32" s="1">
        <v>140</v>
      </c>
      <c r="I32" s="1">
        <v>3.5314999999999999E-2</v>
      </c>
      <c r="J32" s="1">
        <v>140</v>
      </c>
    </row>
    <row r="33" spans="1:10" x14ac:dyDescent="0.35">
      <c r="A33" s="1">
        <v>45</v>
      </c>
      <c r="B33" s="1">
        <v>6</v>
      </c>
      <c r="C33" s="1">
        <v>6</v>
      </c>
      <c r="D33" s="1">
        <f t="shared" si="0"/>
        <v>12</v>
      </c>
      <c r="E33" s="1">
        <v>0.04</v>
      </c>
      <c r="F33" s="1">
        <v>86</v>
      </c>
      <c r="G33" s="1">
        <v>8.4916279069999998</v>
      </c>
      <c r="H33" s="1">
        <v>90</v>
      </c>
      <c r="I33" s="1">
        <v>4.1079999999999998E-2</v>
      </c>
      <c r="J33" s="1">
        <v>89</v>
      </c>
    </row>
    <row r="34" spans="1:10" x14ac:dyDescent="0.35">
      <c r="A34" s="1">
        <v>46</v>
      </c>
      <c r="B34" s="1">
        <v>6</v>
      </c>
      <c r="C34" s="1">
        <v>6</v>
      </c>
      <c r="D34" s="1">
        <f t="shared" si="0"/>
        <v>12</v>
      </c>
      <c r="E34" s="1">
        <v>1.3</v>
      </c>
      <c r="F34" s="1">
        <v>86</v>
      </c>
      <c r="G34" s="1">
        <v>8.5233720930000008</v>
      </c>
      <c r="H34" s="1">
        <v>120</v>
      </c>
      <c r="I34" s="1">
        <v>4.6844999999999998E-2</v>
      </c>
      <c r="J34" s="1">
        <v>114</v>
      </c>
    </row>
    <row r="35" spans="1:10" x14ac:dyDescent="0.35">
      <c r="A35" s="1">
        <v>47</v>
      </c>
      <c r="B35" s="1">
        <v>6</v>
      </c>
      <c r="C35" s="1">
        <v>6</v>
      </c>
      <c r="D35" s="1">
        <f t="shared" si="0"/>
        <v>12</v>
      </c>
      <c r="E35" s="1">
        <v>2.4</v>
      </c>
      <c r="F35" s="1">
        <v>92</v>
      </c>
      <c r="G35" s="1">
        <v>12.17543478</v>
      </c>
      <c r="H35" s="1">
        <v>90</v>
      </c>
      <c r="I35" s="1">
        <v>0.108339</v>
      </c>
      <c r="J35" s="1">
        <v>89</v>
      </c>
    </row>
    <row r="36" spans="1:10" x14ac:dyDescent="0.35">
      <c r="A36" s="1">
        <v>48</v>
      </c>
      <c r="B36" s="1">
        <v>6</v>
      </c>
      <c r="C36" s="1">
        <v>6</v>
      </c>
      <c r="D36" s="1">
        <f t="shared" si="0"/>
        <v>12</v>
      </c>
      <c r="E36" s="1">
        <v>1.4</v>
      </c>
      <c r="F36" s="1">
        <v>92</v>
      </c>
      <c r="G36" s="1">
        <v>12.17543478</v>
      </c>
      <c r="H36" s="1">
        <v>60</v>
      </c>
      <c r="I36" s="1">
        <v>0.13908599999999999</v>
      </c>
      <c r="J36" s="1">
        <v>50</v>
      </c>
    </row>
    <row r="37" spans="1:10" x14ac:dyDescent="0.35">
      <c r="A37" s="1">
        <v>49</v>
      </c>
      <c r="B37" s="1">
        <v>6</v>
      </c>
      <c r="C37" s="1">
        <v>6</v>
      </c>
      <c r="D37" s="1">
        <f t="shared" si="0"/>
        <v>12</v>
      </c>
      <c r="E37" s="1">
        <v>0.7</v>
      </c>
      <c r="F37" s="1">
        <v>92</v>
      </c>
      <c r="G37" s="1">
        <v>12.29391304</v>
      </c>
      <c r="H37" s="1">
        <v>90</v>
      </c>
      <c r="I37" s="1">
        <v>4.6844999999999998E-2</v>
      </c>
      <c r="J37" s="1">
        <v>100</v>
      </c>
    </row>
    <row r="38" spans="1:10" x14ac:dyDescent="0.35">
      <c r="A38" s="1">
        <v>52</v>
      </c>
      <c r="B38" s="1">
        <v>7.5</v>
      </c>
      <c r="C38" s="1">
        <v>7.5</v>
      </c>
      <c r="D38" s="1">
        <f t="shared" si="0"/>
        <v>15</v>
      </c>
      <c r="E38" s="1">
        <v>0.31</v>
      </c>
      <c r="F38" s="1">
        <v>203</v>
      </c>
      <c r="G38" s="1">
        <v>4.8923645320000002</v>
      </c>
      <c r="H38" s="1">
        <v>160</v>
      </c>
      <c r="I38" s="1">
        <v>5.8844E-2</v>
      </c>
      <c r="J38" s="1">
        <v>165</v>
      </c>
    </row>
    <row r="39" spans="1:10" x14ac:dyDescent="0.35">
      <c r="A39" s="1">
        <v>54</v>
      </c>
      <c r="B39" s="1">
        <v>5.5</v>
      </c>
      <c r="C39" s="1">
        <v>5.5</v>
      </c>
      <c r="D39" s="1">
        <f t="shared" si="0"/>
        <v>11</v>
      </c>
      <c r="E39" s="1">
        <v>33</v>
      </c>
      <c r="F39" s="1">
        <v>25</v>
      </c>
      <c r="G39" s="1">
        <v>4.2590000000000003</v>
      </c>
      <c r="H39" s="1">
        <v>250</v>
      </c>
      <c r="I39" s="1">
        <v>0.26207399999999997</v>
      </c>
      <c r="J39" s="1">
        <v>5</v>
      </c>
    </row>
    <row r="40" spans="1:10" x14ac:dyDescent="0.35">
      <c r="A40" s="1">
        <v>55</v>
      </c>
      <c r="B40" s="1">
        <v>3.7</v>
      </c>
      <c r="C40" s="1">
        <v>3.7</v>
      </c>
      <c r="D40" s="1">
        <f t="shared" si="0"/>
        <v>7.4</v>
      </c>
      <c r="E40" s="1">
        <v>123</v>
      </c>
      <c r="F40" s="1">
        <v>1402.6</v>
      </c>
      <c r="G40" s="1">
        <v>8.4875000000000007</v>
      </c>
      <c r="H40" s="1">
        <v>200</v>
      </c>
      <c r="I40" s="1">
        <v>3.7166999999999999E-2</v>
      </c>
      <c r="J40" s="1">
        <v>198</v>
      </c>
    </row>
    <row r="41" spans="1:10" x14ac:dyDescent="0.35">
      <c r="A41" s="1">
        <v>56</v>
      </c>
      <c r="B41" s="1">
        <v>3</v>
      </c>
      <c r="C41" s="1">
        <v>3</v>
      </c>
      <c r="D41" s="1">
        <f t="shared" si="0"/>
        <v>6</v>
      </c>
      <c r="E41" s="1">
        <v>230</v>
      </c>
      <c r="F41" s="1">
        <v>655.9</v>
      </c>
      <c r="G41" s="1">
        <v>4.7375971950000002</v>
      </c>
      <c r="H41" s="1">
        <v>500</v>
      </c>
      <c r="I41" s="1">
        <v>2.5496000000000001E-2</v>
      </c>
      <c r="J41" s="1">
        <v>493</v>
      </c>
    </row>
    <row r="42" spans="1:10" x14ac:dyDescent="0.35">
      <c r="A42" s="1">
        <v>57</v>
      </c>
      <c r="B42" s="1">
        <v>5</v>
      </c>
      <c r="C42" s="1">
        <v>5</v>
      </c>
      <c r="D42" s="1">
        <f t="shared" si="0"/>
        <v>10</v>
      </c>
      <c r="E42" s="1">
        <v>0.01</v>
      </c>
      <c r="F42" s="1">
        <v>4</v>
      </c>
      <c r="G42" s="1">
        <v>3.08</v>
      </c>
      <c r="H42" s="1">
        <v>100</v>
      </c>
      <c r="I42" s="1">
        <v>2.5707000000000001E-2</v>
      </c>
      <c r="J42" s="1">
        <v>97</v>
      </c>
    </row>
    <row r="43" spans="1:10" x14ac:dyDescent="0.35">
      <c r="A43" s="1">
        <v>60</v>
      </c>
      <c r="B43" s="1">
        <v>1.875</v>
      </c>
      <c r="C43" s="1">
        <v>1.875</v>
      </c>
      <c r="D43" s="1">
        <f t="shared" si="0"/>
        <v>3.75</v>
      </c>
      <c r="E43" s="1">
        <v>4.0000000000000002E-4</v>
      </c>
      <c r="F43" s="1">
        <v>13.7</v>
      </c>
      <c r="G43" s="1">
        <v>11.819014599999999</v>
      </c>
      <c r="H43" s="1">
        <v>140</v>
      </c>
      <c r="I43" s="1">
        <v>2.222E-3</v>
      </c>
      <c r="J43" s="1">
        <v>141</v>
      </c>
    </row>
    <row r="47" spans="1:10" x14ac:dyDescent="0.35">
      <c r="A47" t="s">
        <v>1</v>
      </c>
      <c r="B47" t="s">
        <v>0</v>
      </c>
      <c r="C47" t="s">
        <v>0</v>
      </c>
      <c r="D47" t="s">
        <v>0</v>
      </c>
      <c r="E47" t="s">
        <v>0</v>
      </c>
      <c r="F47" t="s">
        <v>0</v>
      </c>
      <c r="G47" t="s">
        <v>0</v>
      </c>
      <c r="H47" t="s">
        <v>0</v>
      </c>
      <c r="I47" t="s">
        <v>0</v>
      </c>
    </row>
    <row r="48" spans="1:10" x14ac:dyDescent="0.35">
      <c r="A48" t="s">
        <v>126</v>
      </c>
      <c r="B48" t="s">
        <v>127</v>
      </c>
      <c r="C48" t="s">
        <v>448</v>
      </c>
      <c r="D48" t="s">
        <v>449</v>
      </c>
      <c r="E48" t="s">
        <v>129</v>
      </c>
      <c r="F48" t="s">
        <v>7</v>
      </c>
      <c r="G48" t="s">
        <v>130</v>
      </c>
      <c r="H48" t="s">
        <v>450</v>
      </c>
      <c r="I48" t="s">
        <v>451</v>
      </c>
    </row>
    <row r="49" spans="1:9" x14ac:dyDescent="0.35">
      <c r="A49" t="s">
        <v>452</v>
      </c>
      <c r="B49" t="s">
        <v>453</v>
      </c>
      <c r="C49" t="s">
        <v>454</v>
      </c>
      <c r="D49" t="s">
        <v>455</v>
      </c>
      <c r="E49" t="s">
        <v>456</v>
      </c>
      <c r="F49" t="s">
        <v>7</v>
      </c>
      <c r="G49" t="s">
        <v>457</v>
      </c>
      <c r="H49" t="s">
        <v>458</v>
      </c>
      <c r="I49" t="s">
        <v>459</v>
      </c>
    </row>
    <row r="50" spans="1:9" x14ac:dyDescent="0.35">
      <c r="A50" t="s">
        <v>30</v>
      </c>
      <c r="B50" t="s">
        <v>31</v>
      </c>
      <c r="C50" t="s">
        <v>460</v>
      </c>
      <c r="D50" t="s">
        <v>461</v>
      </c>
      <c r="E50" t="s">
        <v>33</v>
      </c>
      <c r="F50" t="s">
        <v>7</v>
      </c>
      <c r="G50" t="s">
        <v>34</v>
      </c>
      <c r="H50" t="s">
        <v>462</v>
      </c>
      <c r="I50" t="s">
        <v>10</v>
      </c>
    </row>
    <row r="51" spans="1:9" x14ac:dyDescent="0.35">
      <c r="A51" t="s">
        <v>463</v>
      </c>
      <c r="B51" t="s">
        <v>464</v>
      </c>
      <c r="C51" t="s">
        <v>465</v>
      </c>
      <c r="D51" t="s">
        <v>466</v>
      </c>
      <c r="E51" t="s">
        <v>110</v>
      </c>
      <c r="F51" t="s">
        <v>7</v>
      </c>
      <c r="G51" t="s">
        <v>111</v>
      </c>
      <c r="H51" t="s">
        <v>467</v>
      </c>
      <c r="I51" t="s">
        <v>215</v>
      </c>
    </row>
    <row r="52" spans="1:9" x14ac:dyDescent="0.35">
      <c r="A52" t="s">
        <v>42</v>
      </c>
      <c r="B52" t="s">
        <v>43</v>
      </c>
      <c r="C52" t="s">
        <v>468</v>
      </c>
      <c r="D52" t="s">
        <v>469</v>
      </c>
      <c r="E52" t="s">
        <v>45</v>
      </c>
      <c r="F52" t="s">
        <v>7</v>
      </c>
      <c r="G52" t="s">
        <v>46</v>
      </c>
      <c r="H52" t="s">
        <v>470</v>
      </c>
      <c r="I52" t="s">
        <v>471</v>
      </c>
    </row>
    <row r="53" spans="1:9" x14ac:dyDescent="0.35">
      <c r="A53" t="s">
        <v>150</v>
      </c>
      <c r="B53" t="s">
        <v>151</v>
      </c>
      <c r="C53" t="s">
        <v>472</v>
      </c>
      <c r="D53" t="s">
        <v>473</v>
      </c>
      <c r="E53" t="s">
        <v>152</v>
      </c>
      <c r="F53" t="s">
        <v>7</v>
      </c>
      <c r="G53" t="s">
        <v>153</v>
      </c>
      <c r="H53" t="s">
        <v>458</v>
      </c>
      <c r="I53" t="s">
        <v>474</v>
      </c>
    </row>
    <row r="54" spans="1:9" x14ac:dyDescent="0.35">
      <c r="A54" t="s">
        <v>48</v>
      </c>
      <c r="B54" t="s">
        <v>49</v>
      </c>
      <c r="C54" t="s">
        <v>475</v>
      </c>
      <c r="D54" t="s">
        <v>476</v>
      </c>
      <c r="E54" t="s">
        <v>50</v>
      </c>
      <c r="F54" t="s">
        <v>7</v>
      </c>
      <c r="G54" t="s">
        <v>51</v>
      </c>
      <c r="H54" t="s">
        <v>84</v>
      </c>
      <c r="I54" t="s">
        <v>165</v>
      </c>
    </row>
    <row r="55" spans="1:9" x14ac:dyDescent="0.35">
      <c r="A55" t="s">
        <v>477</v>
      </c>
      <c r="B55" t="s">
        <v>55</v>
      </c>
      <c r="C55" t="s">
        <v>478</v>
      </c>
      <c r="D55" t="s">
        <v>479</v>
      </c>
      <c r="E55" t="s">
        <v>57</v>
      </c>
      <c r="F55" t="s">
        <v>7</v>
      </c>
      <c r="G55" t="s">
        <v>480</v>
      </c>
      <c r="H55" t="s">
        <v>481</v>
      </c>
      <c r="I55" t="s">
        <v>10</v>
      </c>
    </row>
    <row r="56" spans="1:9" x14ac:dyDescent="0.35">
      <c r="A56" t="s">
        <v>65</v>
      </c>
      <c r="B56" t="s">
        <v>66</v>
      </c>
      <c r="C56" t="s">
        <v>482</v>
      </c>
      <c r="D56" t="s">
        <v>483</v>
      </c>
      <c r="E56" t="s">
        <v>68</v>
      </c>
      <c r="F56" t="s">
        <v>7</v>
      </c>
      <c r="G56" t="s">
        <v>69</v>
      </c>
      <c r="H56" t="s">
        <v>16</v>
      </c>
      <c r="I56" t="s">
        <v>484</v>
      </c>
    </row>
    <row r="57" spans="1:9" x14ac:dyDescent="0.35">
      <c r="A57" t="s">
        <v>485</v>
      </c>
      <c r="B57" t="s">
        <v>486</v>
      </c>
      <c r="C57" t="s">
        <v>487</v>
      </c>
      <c r="D57" t="s">
        <v>488</v>
      </c>
      <c r="E57" t="s">
        <v>489</v>
      </c>
      <c r="F57" t="s">
        <v>7</v>
      </c>
      <c r="G57" t="s">
        <v>490</v>
      </c>
      <c r="H57" t="s">
        <v>491</v>
      </c>
      <c r="I57" t="s">
        <v>10</v>
      </c>
    </row>
    <row r="58" spans="1:9" x14ac:dyDescent="0.35">
      <c r="A58" t="s">
        <v>492</v>
      </c>
      <c r="B58" t="s">
        <v>493</v>
      </c>
      <c r="C58" t="s">
        <v>494</v>
      </c>
      <c r="D58" t="s">
        <v>495</v>
      </c>
      <c r="E58" t="s">
        <v>496</v>
      </c>
      <c r="F58" t="s">
        <v>7</v>
      </c>
      <c r="G58" t="s">
        <v>497</v>
      </c>
      <c r="H58" t="s">
        <v>498</v>
      </c>
      <c r="I58" t="s">
        <v>499</v>
      </c>
    </row>
    <row r="59" spans="1:9" x14ac:dyDescent="0.35">
      <c r="A59" t="s">
        <v>71</v>
      </c>
      <c r="B59" t="s">
        <v>72</v>
      </c>
      <c r="C59" t="s">
        <v>500</v>
      </c>
      <c r="D59" t="s">
        <v>501</v>
      </c>
      <c r="E59" t="s">
        <v>74</v>
      </c>
      <c r="F59" t="s">
        <v>7</v>
      </c>
      <c r="G59" t="s">
        <v>75</v>
      </c>
      <c r="H59" t="s">
        <v>502</v>
      </c>
      <c r="I59" t="s">
        <v>503</v>
      </c>
    </row>
    <row r="60" spans="1:9" x14ac:dyDescent="0.35">
      <c r="A60" t="s">
        <v>157</v>
      </c>
      <c r="B60" t="s">
        <v>158</v>
      </c>
      <c r="C60" t="s">
        <v>504</v>
      </c>
      <c r="D60" t="s">
        <v>505</v>
      </c>
      <c r="E60" t="s">
        <v>160</v>
      </c>
      <c r="F60" t="s">
        <v>7</v>
      </c>
      <c r="G60" t="s">
        <v>161</v>
      </c>
      <c r="H60" t="s">
        <v>76</v>
      </c>
      <c r="I60" t="s">
        <v>506</v>
      </c>
    </row>
    <row r="61" spans="1:9" x14ac:dyDescent="0.35">
      <c r="A61" t="s">
        <v>210</v>
      </c>
      <c r="B61" t="s">
        <v>211</v>
      </c>
      <c r="C61" t="s">
        <v>507</v>
      </c>
      <c r="D61" t="s">
        <v>508</v>
      </c>
      <c r="E61" t="s">
        <v>212</v>
      </c>
      <c r="F61" t="s">
        <v>7</v>
      </c>
      <c r="G61" t="s">
        <v>58</v>
      </c>
      <c r="H61" t="s">
        <v>0</v>
      </c>
      <c r="I61" t="s">
        <v>0</v>
      </c>
    </row>
    <row r="62" spans="1:9" x14ac:dyDescent="0.35">
      <c r="A62" t="s">
        <v>216</v>
      </c>
      <c r="B62" t="s">
        <v>217</v>
      </c>
      <c r="C62" t="s">
        <v>507</v>
      </c>
      <c r="D62" t="s">
        <v>509</v>
      </c>
      <c r="E62" t="s">
        <v>105</v>
      </c>
      <c r="F62" t="s">
        <v>7</v>
      </c>
      <c r="G62" t="s">
        <v>58</v>
      </c>
      <c r="H62" t="s">
        <v>0</v>
      </c>
      <c r="I62" t="s">
        <v>0</v>
      </c>
    </row>
    <row r="63" spans="1:9" x14ac:dyDescent="0.35">
      <c r="A63" t="s">
        <v>92</v>
      </c>
      <c r="B63" t="s">
        <v>93</v>
      </c>
      <c r="C63" t="s">
        <v>26</v>
      </c>
      <c r="D63" t="s">
        <v>510</v>
      </c>
      <c r="E63" t="s">
        <v>94</v>
      </c>
      <c r="F63" t="s">
        <v>7</v>
      </c>
      <c r="G63" t="s">
        <v>95</v>
      </c>
      <c r="H63" t="s">
        <v>84</v>
      </c>
      <c r="I63" t="s">
        <v>511</v>
      </c>
    </row>
    <row r="64" spans="1:9" x14ac:dyDescent="0.35">
      <c r="A64" t="s">
        <v>108</v>
      </c>
      <c r="B64" t="s">
        <v>93</v>
      </c>
      <c r="C64" t="s">
        <v>512</v>
      </c>
      <c r="D64" t="s">
        <v>513</v>
      </c>
      <c r="E64" t="s">
        <v>110</v>
      </c>
      <c r="F64" t="s">
        <v>7</v>
      </c>
      <c r="G64" t="s">
        <v>111</v>
      </c>
      <c r="H64" t="s">
        <v>16</v>
      </c>
      <c r="I64" t="s">
        <v>107</v>
      </c>
    </row>
    <row r="65" spans="1:9" x14ac:dyDescent="0.35">
      <c r="A65" t="s">
        <v>113</v>
      </c>
      <c r="B65" t="s">
        <v>114</v>
      </c>
      <c r="C65" t="s">
        <v>514</v>
      </c>
      <c r="D65" t="s">
        <v>515</v>
      </c>
      <c r="E65" t="s">
        <v>116</v>
      </c>
      <c r="F65" t="s">
        <v>7</v>
      </c>
      <c r="G65" t="s">
        <v>117</v>
      </c>
      <c r="H65" t="s">
        <v>84</v>
      </c>
      <c r="I65" t="s">
        <v>516</v>
      </c>
    </row>
    <row r="66" spans="1:9" x14ac:dyDescent="0.35">
      <c r="A66" t="s">
        <v>122</v>
      </c>
      <c r="B66" t="s">
        <v>123</v>
      </c>
      <c r="C66" t="s">
        <v>517</v>
      </c>
      <c r="D66" t="s">
        <v>518</v>
      </c>
      <c r="E66" t="s">
        <v>99</v>
      </c>
      <c r="F66" t="s">
        <v>7</v>
      </c>
      <c r="G66" t="s">
        <v>100</v>
      </c>
      <c r="H66" t="s">
        <v>519</v>
      </c>
      <c r="I66" t="s">
        <v>520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B08EA-D974-404F-9FAE-7112F54D0F51}">
  <dimension ref="A1:J66"/>
  <sheetViews>
    <sheetView workbookViewId="0">
      <selection sqref="A1:XFD1"/>
    </sheetView>
  </sheetViews>
  <sheetFormatPr defaultRowHeight="14.5" x14ac:dyDescent="0.35"/>
  <cols>
    <col min="4" max="4" width="21" customWidth="1"/>
    <col min="9" max="9" width="13.54296875" customWidth="1"/>
  </cols>
  <sheetData>
    <row r="1" spans="1:10" x14ac:dyDescent="0.35">
      <c r="A1" s="2" t="s">
        <v>345</v>
      </c>
      <c r="B1" s="2" t="s">
        <v>344</v>
      </c>
      <c r="C1" s="2" t="s">
        <v>343</v>
      </c>
      <c r="D1" s="2" t="s">
        <v>572</v>
      </c>
      <c r="E1" s="2" t="s">
        <v>342</v>
      </c>
      <c r="F1" s="2" t="s">
        <v>341</v>
      </c>
      <c r="G1" s="2" t="s">
        <v>340</v>
      </c>
      <c r="H1" s="2" t="s">
        <v>339</v>
      </c>
      <c r="I1" s="2" t="s">
        <v>573</v>
      </c>
      <c r="J1" s="2" t="s">
        <v>338</v>
      </c>
    </row>
    <row r="2" spans="1:10" x14ac:dyDescent="0.35">
      <c r="A2" s="1">
        <v>1</v>
      </c>
      <c r="B2" s="1">
        <v>4.5720000000000001</v>
      </c>
      <c r="C2" s="1">
        <v>6.8579999999999997</v>
      </c>
      <c r="D2" s="1">
        <f>2*C2</f>
        <v>13.715999999999999</v>
      </c>
      <c r="E2" s="1">
        <v>3.55</v>
      </c>
      <c r="F2" s="1">
        <v>37.67</v>
      </c>
      <c r="G2" s="1">
        <v>3.14</v>
      </c>
      <c r="H2" s="1">
        <v>274.32</v>
      </c>
      <c r="I2" s="1">
        <v>5.6476999999999999E-2</v>
      </c>
      <c r="J2" s="1">
        <v>284</v>
      </c>
    </row>
    <row r="3" spans="1:10" x14ac:dyDescent="0.35">
      <c r="A3" s="1">
        <v>2</v>
      </c>
      <c r="B3" s="1">
        <v>1.524</v>
      </c>
      <c r="C3" s="1">
        <v>2.286</v>
      </c>
      <c r="D3" s="1">
        <f t="shared" ref="D3:D34" si="0">2*C3</f>
        <v>4.5720000000000001</v>
      </c>
      <c r="E3" s="1">
        <v>28</v>
      </c>
      <c r="F3" s="1">
        <v>106.35</v>
      </c>
      <c r="G3" s="1">
        <v>3.14</v>
      </c>
      <c r="H3" s="1">
        <v>228.6</v>
      </c>
      <c r="I3" s="1">
        <v>2.3550999999999999E-2</v>
      </c>
      <c r="J3" s="1">
        <v>220</v>
      </c>
    </row>
    <row r="4" spans="1:10" x14ac:dyDescent="0.35">
      <c r="A4" s="1">
        <v>3</v>
      </c>
      <c r="B4" s="1">
        <v>3.048</v>
      </c>
      <c r="C4" s="1">
        <v>4.5720000000000001</v>
      </c>
      <c r="D4" s="1">
        <f t="shared" si="0"/>
        <v>9.1440000000000001</v>
      </c>
      <c r="E4" s="1">
        <v>0.45</v>
      </c>
      <c r="F4" s="1">
        <v>43</v>
      </c>
      <c r="G4" s="1">
        <v>3.14</v>
      </c>
      <c r="H4" s="1">
        <v>914.4</v>
      </c>
      <c r="I4" s="1">
        <v>1.0099E-2</v>
      </c>
      <c r="J4" s="1">
        <v>907</v>
      </c>
    </row>
    <row r="5" spans="1:10" x14ac:dyDescent="0.35">
      <c r="A5" s="1">
        <v>4</v>
      </c>
      <c r="B5" s="1">
        <v>3.048</v>
      </c>
      <c r="C5" s="1">
        <v>4.5720000000000001</v>
      </c>
      <c r="D5" s="1">
        <f t="shared" si="0"/>
        <v>9.1440000000000001</v>
      </c>
      <c r="E5" s="1">
        <v>43.28</v>
      </c>
      <c r="F5" s="1">
        <v>103.4</v>
      </c>
      <c r="G5" s="1">
        <v>3.14</v>
      </c>
      <c r="H5" s="1">
        <v>213.36</v>
      </c>
      <c r="I5" s="1">
        <v>0.25757400000000003</v>
      </c>
      <c r="J5" s="1">
        <v>216</v>
      </c>
    </row>
    <row r="6" spans="1:10" x14ac:dyDescent="0.35">
      <c r="A6" s="1">
        <v>5</v>
      </c>
      <c r="B6" s="1">
        <v>1.524</v>
      </c>
      <c r="C6" s="1">
        <v>2.286</v>
      </c>
      <c r="D6" s="1">
        <f t="shared" si="0"/>
        <v>4.5720000000000001</v>
      </c>
      <c r="E6" s="1">
        <v>5.26</v>
      </c>
      <c r="F6" s="1">
        <v>19.79</v>
      </c>
      <c r="G6" s="1">
        <v>3.14</v>
      </c>
      <c r="H6" s="1">
        <v>259.08</v>
      </c>
      <c r="I6" s="1">
        <v>1.5769999999999999E-2</v>
      </c>
      <c r="J6" s="1">
        <v>252</v>
      </c>
    </row>
    <row r="7" spans="1:10" x14ac:dyDescent="0.35">
      <c r="A7" s="1">
        <v>6</v>
      </c>
      <c r="B7" s="1">
        <v>3.81</v>
      </c>
      <c r="C7" s="1">
        <v>5.7149999999999999</v>
      </c>
      <c r="D7" s="1">
        <f t="shared" si="0"/>
        <v>11.43</v>
      </c>
      <c r="E7" s="1">
        <v>4.03</v>
      </c>
      <c r="F7" s="1">
        <v>35.049999999999997</v>
      </c>
      <c r="G7" s="1">
        <v>3.14</v>
      </c>
      <c r="H7" s="1">
        <v>91.44</v>
      </c>
      <c r="I7" s="1">
        <v>0.16983300000000001</v>
      </c>
      <c r="J7" s="1">
        <v>89</v>
      </c>
    </row>
    <row r="8" spans="1:10" x14ac:dyDescent="0.35">
      <c r="A8" s="1">
        <v>7</v>
      </c>
      <c r="B8" s="1">
        <v>2.286</v>
      </c>
      <c r="C8" s="1">
        <v>3.4289999999999998</v>
      </c>
      <c r="D8" s="1">
        <f t="shared" si="0"/>
        <v>6.8579999999999997</v>
      </c>
      <c r="E8" s="1">
        <v>14.1</v>
      </c>
      <c r="F8" s="1">
        <v>1004.04</v>
      </c>
      <c r="G8" s="1">
        <v>3.14</v>
      </c>
      <c r="H8" s="1">
        <v>146.304</v>
      </c>
      <c r="I8" s="1">
        <v>1.0099E-2</v>
      </c>
      <c r="J8" s="1">
        <v>144</v>
      </c>
    </row>
    <row r="9" spans="1:10" x14ac:dyDescent="0.35">
      <c r="A9" s="1">
        <v>8</v>
      </c>
      <c r="B9" s="1">
        <v>1.524</v>
      </c>
      <c r="C9" s="1">
        <v>2.286</v>
      </c>
      <c r="D9" s="1">
        <f t="shared" si="0"/>
        <v>4.5720000000000001</v>
      </c>
      <c r="E9" s="1">
        <v>29.64</v>
      </c>
      <c r="F9" s="1">
        <v>113.77</v>
      </c>
      <c r="G9" s="1">
        <v>3.14</v>
      </c>
      <c r="H9" s="1">
        <v>76.2</v>
      </c>
      <c r="I9" s="1">
        <v>9.7464999999999996E-2</v>
      </c>
      <c r="J9" s="1">
        <v>76</v>
      </c>
    </row>
    <row r="10" spans="1:10" x14ac:dyDescent="0.35">
      <c r="A10" s="1">
        <v>9</v>
      </c>
      <c r="B10" s="1">
        <v>3.81</v>
      </c>
      <c r="C10" s="1">
        <v>5.7149999999999999</v>
      </c>
      <c r="D10" s="1">
        <f t="shared" si="0"/>
        <v>11.43</v>
      </c>
      <c r="E10" s="1">
        <v>0.68</v>
      </c>
      <c r="F10" s="1">
        <v>68.94</v>
      </c>
      <c r="G10" s="1">
        <v>3.14</v>
      </c>
      <c r="H10" s="1">
        <v>106.68</v>
      </c>
      <c r="I10" s="1">
        <v>3.5314999999999999E-2</v>
      </c>
      <c r="J10" s="1">
        <v>116</v>
      </c>
    </row>
    <row r="11" spans="1:10" x14ac:dyDescent="0.35">
      <c r="A11" s="1">
        <v>11</v>
      </c>
      <c r="B11" s="1">
        <v>3.2004000000000001</v>
      </c>
      <c r="C11" s="1">
        <v>4.8010000000000002</v>
      </c>
      <c r="D11" s="1">
        <f t="shared" si="0"/>
        <v>9.6020000000000003</v>
      </c>
      <c r="E11" s="1">
        <v>1.806</v>
      </c>
      <c r="F11" s="1">
        <v>871.45</v>
      </c>
      <c r="G11" s="1">
        <v>3.14</v>
      </c>
      <c r="H11" s="1">
        <v>182.88</v>
      </c>
      <c r="I11" s="1">
        <v>1.8799E-2</v>
      </c>
      <c r="J11" s="1">
        <v>190</v>
      </c>
    </row>
    <row r="12" spans="1:10" x14ac:dyDescent="0.35">
      <c r="A12" s="1">
        <v>12</v>
      </c>
      <c r="B12" s="1">
        <v>1.524</v>
      </c>
      <c r="C12" s="1">
        <v>2.286</v>
      </c>
      <c r="D12" s="1">
        <f t="shared" si="0"/>
        <v>4.5720000000000001</v>
      </c>
      <c r="E12" s="1">
        <v>0.123</v>
      </c>
      <c r="F12" s="1">
        <v>248.76</v>
      </c>
      <c r="G12" s="1">
        <v>3.14</v>
      </c>
      <c r="H12" s="1">
        <v>42.671999999999997</v>
      </c>
      <c r="I12" s="1">
        <v>6.045E-3</v>
      </c>
      <c r="J12" s="1">
        <v>41</v>
      </c>
    </row>
    <row r="13" spans="1:10" x14ac:dyDescent="0.35">
      <c r="A13" s="1">
        <v>13</v>
      </c>
      <c r="B13" s="1">
        <v>1.524</v>
      </c>
      <c r="C13" s="1">
        <v>2.286</v>
      </c>
      <c r="D13" s="1">
        <f t="shared" si="0"/>
        <v>4.5720000000000001</v>
      </c>
      <c r="E13" s="1">
        <v>12.84</v>
      </c>
      <c r="F13" s="1">
        <v>29.26</v>
      </c>
      <c r="G13" s="1">
        <v>3.14</v>
      </c>
      <c r="H13" s="1">
        <v>109.72799999999999</v>
      </c>
      <c r="I13" s="1">
        <v>0.12858700000000001</v>
      </c>
      <c r="J13" s="1">
        <v>117</v>
      </c>
    </row>
    <row r="14" spans="1:10" x14ac:dyDescent="0.35">
      <c r="A14" s="1">
        <v>14</v>
      </c>
      <c r="B14" s="1">
        <v>3.81</v>
      </c>
      <c r="C14" s="1">
        <v>5.7149999999999999</v>
      </c>
      <c r="D14" s="1">
        <f t="shared" si="0"/>
        <v>11.43</v>
      </c>
      <c r="E14" s="1">
        <v>8.18</v>
      </c>
      <c r="F14" s="1">
        <v>23.9</v>
      </c>
      <c r="G14" s="1">
        <v>3.14</v>
      </c>
      <c r="H14" s="1">
        <v>219.45599999999999</v>
      </c>
      <c r="I14" s="1">
        <v>0.231327</v>
      </c>
      <c r="J14" s="1">
        <v>220</v>
      </c>
    </row>
    <row r="15" spans="1:10" x14ac:dyDescent="0.35">
      <c r="A15" s="1">
        <v>15</v>
      </c>
      <c r="B15" s="1">
        <v>1.524</v>
      </c>
      <c r="C15" s="1">
        <v>2.286</v>
      </c>
      <c r="D15" s="1">
        <f t="shared" si="0"/>
        <v>4.5720000000000001</v>
      </c>
      <c r="E15" s="1">
        <v>13.8</v>
      </c>
      <c r="F15" s="1">
        <v>57.76</v>
      </c>
      <c r="G15" s="1">
        <v>3.14</v>
      </c>
      <c r="H15" s="1">
        <v>96.012</v>
      </c>
      <c r="I15" s="1">
        <v>5.0782000000000001E-2</v>
      </c>
      <c r="J15" s="1">
        <v>103</v>
      </c>
    </row>
    <row r="16" spans="1:10" x14ac:dyDescent="0.35">
      <c r="A16" s="1">
        <v>16</v>
      </c>
      <c r="B16" s="1">
        <v>3.048</v>
      </c>
      <c r="C16" s="1">
        <v>4.5720000000000001</v>
      </c>
      <c r="D16" s="1">
        <f t="shared" si="0"/>
        <v>9.1440000000000001</v>
      </c>
      <c r="E16" s="1">
        <v>13.118</v>
      </c>
      <c r="F16" s="1">
        <v>77.8</v>
      </c>
      <c r="G16" s="1">
        <v>3.14</v>
      </c>
      <c r="H16" s="1">
        <v>53.34</v>
      </c>
      <c r="I16" s="1">
        <v>0.50505</v>
      </c>
      <c r="J16" s="1">
        <v>46</v>
      </c>
    </row>
    <row r="17" spans="1:10" x14ac:dyDescent="0.35">
      <c r="A17" s="1">
        <v>19</v>
      </c>
      <c r="B17" s="1">
        <v>4.5720000000000001</v>
      </c>
      <c r="C17" s="1">
        <v>6.8579999999999997</v>
      </c>
      <c r="D17" s="1">
        <f t="shared" si="0"/>
        <v>13.715999999999999</v>
      </c>
      <c r="E17" s="1">
        <v>49.3</v>
      </c>
      <c r="F17" s="1">
        <v>107.76</v>
      </c>
      <c r="G17" s="1">
        <v>3.14</v>
      </c>
      <c r="H17" s="1">
        <v>192.024</v>
      </c>
      <c r="I17" s="1">
        <v>1</v>
      </c>
      <c r="J17" s="1">
        <v>192</v>
      </c>
    </row>
    <row r="18" spans="1:10" x14ac:dyDescent="0.35">
      <c r="A18" s="1">
        <v>21</v>
      </c>
      <c r="B18" s="1">
        <v>2.286</v>
      </c>
      <c r="C18" s="1">
        <v>3.4289999999999998</v>
      </c>
      <c r="D18" s="1">
        <f t="shared" si="0"/>
        <v>6.8579999999999997</v>
      </c>
      <c r="E18" s="1">
        <v>0.46899999999999997</v>
      </c>
      <c r="F18" s="1">
        <v>454.56</v>
      </c>
      <c r="G18" s="1">
        <v>3.14</v>
      </c>
      <c r="H18" s="1">
        <v>60.96</v>
      </c>
      <c r="I18" s="1">
        <v>1.2031999999999999E-2</v>
      </c>
      <c r="J18" s="1">
        <v>70</v>
      </c>
    </row>
    <row r="19" spans="1:10" x14ac:dyDescent="0.35">
      <c r="A19" s="1">
        <v>24</v>
      </c>
      <c r="B19" s="1">
        <v>3.048</v>
      </c>
      <c r="C19" s="1">
        <v>4.5720000000000001</v>
      </c>
      <c r="D19" s="1">
        <f t="shared" si="0"/>
        <v>9.1440000000000001</v>
      </c>
      <c r="E19" s="1">
        <v>67</v>
      </c>
      <c r="F19" s="1">
        <v>2013.26</v>
      </c>
      <c r="G19" s="1">
        <v>3.14</v>
      </c>
      <c r="H19" s="1">
        <v>207.26400000000001</v>
      </c>
      <c r="I19" s="1">
        <v>1.8799E-2</v>
      </c>
      <c r="J19" s="1">
        <v>211</v>
      </c>
    </row>
    <row r="20" spans="1:10" x14ac:dyDescent="0.35">
      <c r="A20" s="1">
        <v>25</v>
      </c>
      <c r="B20" s="1">
        <v>1.524</v>
      </c>
      <c r="C20" s="1">
        <v>2.286</v>
      </c>
      <c r="D20" s="1">
        <f t="shared" si="0"/>
        <v>4.5720000000000001</v>
      </c>
      <c r="E20" s="1">
        <v>7.1900000000000006E-2</v>
      </c>
      <c r="F20" s="1">
        <v>39.783000000000001</v>
      </c>
      <c r="G20" s="1">
        <v>3.14</v>
      </c>
      <c r="H20" s="1">
        <v>67.055999999999997</v>
      </c>
      <c r="I20" s="1">
        <v>5.0720000000000001E-3</v>
      </c>
      <c r="J20" s="1">
        <v>63</v>
      </c>
    </row>
    <row r="21" spans="1:10" x14ac:dyDescent="0.35">
      <c r="A21" s="1">
        <v>30</v>
      </c>
      <c r="B21" s="1">
        <v>1.5249999999999999</v>
      </c>
      <c r="C21" s="1">
        <v>2.2869999999999999</v>
      </c>
      <c r="D21" s="1">
        <f t="shared" si="0"/>
        <v>4.5739999999999998</v>
      </c>
      <c r="E21" s="1">
        <v>5.22</v>
      </c>
      <c r="F21" s="1">
        <v>27.61</v>
      </c>
      <c r="G21" s="1">
        <v>3.14</v>
      </c>
      <c r="H21" s="1">
        <v>152</v>
      </c>
      <c r="I21" s="1">
        <v>2.3550999999999999E-2</v>
      </c>
      <c r="J21" s="1">
        <v>143</v>
      </c>
    </row>
    <row r="22" spans="1:10" x14ac:dyDescent="0.35">
      <c r="A22" s="1">
        <v>32</v>
      </c>
      <c r="B22" s="1">
        <v>3.05</v>
      </c>
      <c r="C22" s="1">
        <v>4.5750000000000002</v>
      </c>
      <c r="D22" s="1">
        <f t="shared" si="0"/>
        <v>9.15</v>
      </c>
      <c r="E22" s="1">
        <v>2.84</v>
      </c>
      <c r="F22" s="1">
        <v>24.6</v>
      </c>
      <c r="G22" s="1">
        <v>3.14</v>
      </c>
      <c r="H22" s="1">
        <v>168</v>
      </c>
      <c r="I22" s="1">
        <v>4.8766999999999998E-2</v>
      </c>
      <c r="J22" s="1">
        <v>177</v>
      </c>
    </row>
    <row r="23" spans="1:10" x14ac:dyDescent="0.35">
      <c r="A23" s="1">
        <v>36</v>
      </c>
      <c r="B23" s="1">
        <v>4.57</v>
      </c>
      <c r="C23" s="1">
        <v>6.8550000000000004</v>
      </c>
      <c r="D23" s="1">
        <f t="shared" si="0"/>
        <v>13.71</v>
      </c>
      <c r="E23" s="1">
        <v>3.23</v>
      </c>
      <c r="F23" s="1">
        <v>41.2</v>
      </c>
      <c r="G23" s="1">
        <v>3.14</v>
      </c>
      <c r="H23" s="1">
        <v>198</v>
      </c>
      <c r="I23" s="1">
        <v>0.113776</v>
      </c>
      <c r="J23" s="1">
        <v>199</v>
      </c>
    </row>
    <row r="24" spans="1:10" x14ac:dyDescent="0.35">
      <c r="A24" s="1">
        <v>38</v>
      </c>
      <c r="B24" s="1">
        <v>1.22</v>
      </c>
      <c r="C24" s="1">
        <v>1.83</v>
      </c>
      <c r="D24" s="1">
        <f t="shared" si="0"/>
        <v>3.66</v>
      </c>
      <c r="E24" s="1">
        <v>0.96</v>
      </c>
      <c r="F24" s="1">
        <v>1456.05</v>
      </c>
      <c r="G24" s="1">
        <v>3.14</v>
      </c>
      <c r="H24" s="1">
        <v>30</v>
      </c>
      <c r="I24" s="1">
        <v>4.0489999999999996E-3</v>
      </c>
      <c r="J24" s="1">
        <v>34</v>
      </c>
    </row>
    <row r="25" spans="1:10" x14ac:dyDescent="0.35">
      <c r="A25" s="1">
        <v>39</v>
      </c>
      <c r="B25" s="1">
        <v>1.22</v>
      </c>
      <c r="C25" s="1">
        <v>1.83</v>
      </c>
      <c r="D25" s="1">
        <f t="shared" si="0"/>
        <v>3.66</v>
      </c>
      <c r="E25" s="1">
        <v>13.8</v>
      </c>
      <c r="F25" s="1">
        <v>36.24</v>
      </c>
      <c r="G25" s="1">
        <v>3.14</v>
      </c>
      <c r="H25" s="1">
        <v>64</v>
      </c>
      <c r="I25" s="1">
        <v>0.12683700000000001</v>
      </c>
      <c r="J25" s="1">
        <v>70</v>
      </c>
    </row>
    <row r="26" spans="1:10" x14ac:dyDescent="0.35">
      <c r="A26" s="1">
        <v>42</v>
      </c>
      <c r="B26" s="1">
        <v>3.05</v>
      </c>
      <c r="C26" s="1">
        <v>4.5750000000000002</v>
      </c>
      <c r="D26" s="1">
        <f t="shared" si="0"/>
        <v>9.15</v>
      </c>
      <c r="E26" s="1">
        <v>9.23</v>
      </c>
      <c r="F26" s="1">
        <v>17.14</v>
      </c>
      <c r="G26" s="1">
        <v>3.14</v>
      </c>
      <c r="H26" s="1">
        <v>152</v>
      </c>
      <c r="I26" s="1">
        <v>0.62878699999999998</v>
      </c>
      <c r="J26" s="1">
        <v>149</v>
      </c>
    </row>
    <row r="27" spans="1:10" x14ac:dyDescent="0.35">
      <c r="A27" s="1">
        <v>43</v>
      </c>
      <c r="B27" s="1">
        <v>1.83</v>
      </c>
      <c r="C27" s="1">
        <v>2.7450000000000001</v>
      </c>
      <c r="D27" s="1">
        <f t="shared" si="0"/>
        <v>5.49</v>
      </c>
      <c r="E27" s="1">
        <v>3.13</v>
      </c>
      <c r="F27" s="1">
        <v>28.55</v>
      </c>
      <c r="G27" s="1">
        <v>3.14</v>
      </c>
      <c r="H27" s="1">
        <v>96</v>
      </c>
      <c r="I27" s="1">
        <v>2.7441E-2</v>
      </c>
      <c r="J27" s="1">
        <v>97</v>
      </c>
    </row>
    <row r="28" spans="1:10" x14ac:dyDescent="0.35">
      <c r="A28" s="1">
        <v>45</v>
      </c>
      <c r="B28" s="1">
        <v>6</v>
      </c>
      <c r="C28" s="1">
        <v>9</v>
      </c>
      <c r="D28" s="1">
        <f t="shared" si="0"/>
        <v>18</v>
      </c>
      <c r="E28" s="1">
        <v>0.04</v>
      </c>
      <c r="F28" s="1">
        <v>86</v>
      </c>
      <c r="G28" s="1">
        <v>3.14</v>
      </c>
      <c r="H28" s="1">
        <v>90</v>
      </c>
      <c r="I28" s="1">
        <v>4.0096E-2</v>
      </c>
      <c r="J28" s="1">
        <v>91</v>
      </c>
    </row>
    <row r="29" spans="1:10" x14ac:dyDescent="0.35">
      <c r="A29" s="1">
        <v>48</v>
      </c>
      <c r="B29" s="1">
        <v>6</v>
      </c>
      <c r="C29" s="1">
        <v>9</v>
      </c>
      <c r="D29" s="1">
        <f t="shared" si="0"/>
        <v>18</v>
      </c>
      <c r="E29" s="1">
        <v>1.4</v>
      </c>
      <c r="F29" s="1">
        <v>92</v>
      </c>
      <c r="G29" s="1">
        <v>3.14</v>
      </c>
      <c r="H29" s="1">
        <v>60</v>
      </c>
      <c r="I29" s="1">
        <v>0.28007199999999999</v>
      </c>
      <c r="J29" s="1">
        <v>60</v>
      </c>
    </row>
    <row r="30" spans="1:10" x14ac:dyDescent="0.35">
      <c r="A30" s="1">
        <v>49</v>
      </c>
      <c r="B30" s="1">
        <v>6</v>
      </c>
      <c r="C30" s="1">
        <v>9</v>
      </c>
      <c r="D30" s="1">
        <f t="shared" si="0"/>
        <v>18</v>
      </c>
      <c r="E30" s="1">
        <v>0.7</v>
      </c>
      <c r="F30" s="1">
        <v>92</v>
      </c>
      <c r="G30" s="1">
        <v>3.14</v>
      </c>
      <c r="H30" s="1">
        <v>90</v>
      </c>
      <c r="I30" s="1">
        <v>4.0096E-2</v>
      </c>
      <c r="J30" s="1">
        <v>86</v>
      </c>
    </row>
    <row r="31" spans="1:10" x14ac:dyDescent="0.35">
      <c r="A31" s="1">
        <v>55</v>
      </c>
      <c r="B31" s="1">
        <v>3.7</v>
      </c>
      <c r="C31" s="1">
        <v>5.55</v>
      </c>
      <c r="D31" s="1">
        <f t="shared" si="0"/>
        <v>11.1</v>
      </c>
      <c r="E31" s="1">
        <v>123</v>
      </c>
      <c r="F31" s="1">
        <v>1402.6</v>
      </c>
      <c r="G31" s="1">
        <v>3.14</v>
      </c>
      <c r="H31" s="1">
        <v>200</v>
      </c>
      <c r="I31" s="1">
        <v>9.2965999999999993E-2</v>
      </c>
      <c r="J31" s="1">
        <v>190</v>
      </c>
    </row>
    <row r="32" spans="1:10" x14ac:dyDescent="0.35">
      <c r="A32" s="1">
        <v>56</v>
      </c>
      <c r="B32" s="1">
        <v>3</v>
      </c>
      <c r="C32" s="1">
        <v>4.5</v>
      </c>
      <c r="D32" s="1">
        <f t="shared" si="0"/>
        <v>9</v>
      </c>
      <c r="E32" s="1">
        <v>230</v>
      </c>
      <c r="F32" s="1">
        <v>655.9</v>
      </c>
      <c r="G32" s="1">
        <v>3.14</v>
      </c>
      <c r="H32" s="1">
        <v>500</v>
      </c>
      <c r="I32" s="1">
        <v>6.0366999999999997E-2</v>
      </c>
      <c r="J32" s="1">
        <v>492</v>
      </c>
    </row>
    <row r="33" spans="1:10" x14ac:dyDescent="0.35">
      <c r="A33" s="1">
        <v>57</v>
      </c>
      <c r="B33" s="1">
        <v>5</v>
      </c>
      <c r="C33" s="1">
        <v>7.5</v>
      </c>
      <c r="D33" s="1">
        <f t="shared" si="0"/>
        <v>15</v>
      </c>
      <c r="E33" s="1">
        <v>0.01</v>
      </c>
      <c r="F33" s="1">
        <v>4</v>
      </c>
      <c r="G33" s="1">
        <v>3.14</v>
      </c>
      <c r="H33" s="1">
        <v>100</v>
      </c>
      <c r="I33" s="1">
        <v>7.0093000000000003E-2</v>
      </c>
      <c r="J33" s="1">
        <v>98</v>
      </c>
    </row>
    <row r="34" spans="1:10" x14ac:dyDescent="0.35">
      <c r="A34" s="1">
        <v>60</v>
      </c>
      <c r="B34" s="1">
        <v>1.875</v>
      </c>
      <c r="C34" s="1">
        <v>2.8119999999999998</v>
      </c>
      <c r="D34" s="1">
        <f t="shared" si="0"/>
        <v>5.6239999999999997</v>
      </c>
      <c r="E34" s="1">
        <v>4.0000000000000002E-4</v>
      </c>
      <c r="F34" s="1">
        <v>13.7</v>
      </c>
      <c r="G34" s="1">
        <v>3.14</v>
      </c>
      <c r="H34" s="1">
        <v>140</v>
      </c>
      <c r="I34" s="1">
        <v>5.8019999999999999E-3</v>
      </c>
      <c r="J34" s="1">
        <v>141</v>
      </c>
    </row>
    <row r="38" spans="1:10" x14ac:dyDescent="0.35">
      <c r="A38" t="s">
        <v>1</v>
      </c>
    </row>
    <row r="39" spans="1:10" x14ac:dyDescent="0.35">
      <c r="A39" t="s">
        <v>521</v>
      </c>
    </row>
    <row r="40" spans="1:10" x14ac:dyDescent="0.35">
      <c r="A40" t="s">
        <v>522</v>
      </c>
    </row>
    <row r="41" spans="1:10" x14ac:dyDescent="0.35">
      <c r="A41" t="s">
        <v>523</v>
      </c>
    </row>
    <row r="42" spans="1:10" x14ac:dyDescent="0.35">
      <c r="A42" t="s">
        <v>524</v>
      </c>
    </row>
    <row r="43" spans="1:10" x14ac:dyDescent="0.35">
      <c r="A43" t="s">
        <v>525</v>
      </c>
    </row>
    <row r="44" spans="1:10" x14ac:dyDescent="0.35">
      <c r="A44" t="s">
        <v>526</v>
      </c>
    </row>
    <row r="45" spans="1:10" x14ac:dyDescent="0.35">
      <c r="A45" t="s">
        <v>527</v>
      </c>
    </row>
    <row r="46" spans="1:10" x14ac:dyDescent="0.35">
      <c r="A46" t="s">
        <v>528</v>
      </c>
    </row>
    <row r="47" spans="1:10" x14ac:dyDescent="0.35">
      <c r="A47" t="s">
        <v>529</v>
      </c>
    </row>
    <row r="48" spans="1:10" x14ac:dyDescent="0.35">
      <c r="A48" t="s">
        <v>530</v>
      </c>
    </row>
    <row r="49" spans="1:1" x14ac:dyDescent="0.35">
      <c r="A49" t="s">
        <v>531</v>
      </c>
    </row>
    <row r="50" spans="1:1" x14ac:dyDescent="0.35">
      <c r="A50" t="s">
        <v>362</v>
      </c>
    </row>
    <row r="51" spans="1:1" x14ac:dyDescent="0.35">
      <c r="A51" t="s">
        <v>532</v>
      </c>
    </row>
    <row r="52" spans="1:1" x14ac:dyDescent="0.35">
      <c r="A52" t="s">
        <v>533</v>
      </c>
    </row>
    <row r="53" spans="1:1" x14ac:dyDescent="0.35">
      <c r="A53" t="s">
        <v>534</v>
      </c>
    </row>
    <row r="54" spans="1:1" x14ac:dyDescent="0.35">
      <c r="A54" t="s">
        <v>439</v>
      </c>
    </row>
    <row r="55" spans="1:1" x14ac:dyDescent="0.35">
      <c r="A55" t="s">
        <v>535</v>
      </c>
    </row>
    <row r="56" spans="1:1" x14ac:dyDescent="0.35">
      <c r="A56" t="s">
        <v>536</v>
      </c>
    </row>
    <row r="57" spans="1:1" x14ac:dyDescent="0.35">
      <c r="A57" t="s">
        <v>537</v>
      </c>
    </row>
    <row r="58" spans="1:1" x14ac:dyDescent="0.35">
      <c r="A58" t="s">
        <v>538</v>
      </c>
    </row>
    <row r="59" spans="1:1" x14ac:dyDescent="0.35">
      <c r="A59" t="s">
        <v>539</v>
      </c>
    </row>
    <row r="60" spans="1:1" x14ac:dyDescent="0.35">
      <c r="A60" t="s">
        <v>540</v>
      </c>
    </row>
    <row r="61" spans="1:1" x14ac:dyDescent="0.35">
      <c r="A61" t="s">
        <v>541</v>
      </c>
    </row>
    <row r="62" spans="1:1" x14ac:dyDescent="0.35">
      <c r="A62" t="s">
        <v>542</v>
      </c>
    </row>
    <row r="63" spans="1:1" x14ac:dyDescent="0.35">
      <c r="A63" t="s">
        <v>543</v>
      </c>
    </row>
    <row r="64" spans="1:1" x14ac:dyDescent="0.35">
      <c r="A64" t="s">
        <v>544</v>
      </c>
    </row>
    <row r="65" spans="1:1" x14ac:dyDescent="0.35">
      <c r="A65" t="s">
        <v>545</v>
      </c>
    </row>
    <row r="66" spans="1:1" x14ac:dyDescent="0.35">
      <c r="A66" t="s">
        <v>546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E459E-2645-43FB-8C17-B2A709823A05}">
  <dimension ref="A1:J66"/>
  <sheetViews>
    <sheetView workbookViewId="0">
      <selection sqref="A1:XFD1"/>
    </sheetView>
  </sheetViews>
  <sheetFormatPr defaultRowHeight="14.5" x14ac:dyDescent="0.35"/>
  <cols>
    <col min="4" max="4" width="19.7265625" customWidth="1"/>
    <col min="9" max="9" width="19.54296875" customWidth="1"/>
  </cols>
  <sheetData>
    <row r="1" spans="1:10" x14ac:dyDescent="0.35">
      <c r="A1" s="2" t="s">
        <v>345</v>
      </c>
      <c r="B1" s="2" t="s">
        <v>344</v>
      </c>
      <c r="C1" s="2" t="s">
        <v>343</v>
      </c>
      <c r="D1" s="2" t="s">
        <v>572</v>
      </c>
      <c r="E1" s="2" t="s">
        <v>342</v>
      </c>
      <c r="F1" s="2" t="s">
        <v>341</v>
      </c>
      <c r="G1" s="2" t="s">
        <v>340</v>
      </c>
      <c r="H1" s="2" t="s">
        <v>339</v>
      </c>
      <c r="I1" s="2" t="s">
        <v>573</v>
      </c>
      <c r="J1" s="2" t="s">
        <v>338</v>
      </c>
    </row>
    <row r="2" spans="1:10" x14ac:dyDescent="0.35">
      <c r="A2" s="1">
        <v>2</v>
      </c>
      <c r="B2" s="1">
        <v>1.524</v>
      </c>
      <c r="C2" s="1">
        <v>3.048</v>
      </c>
      <c r="D2" s="1">
        <f>2*C2</f>
        <v>6.0960000000000001</v>
      </c>
      <c r="E2" s="1">
        <v>28</v>
      </c>
      <c r="F2" s="1">
        <v>106.35</v>
      </c>
      <c r="G2" s="1">
        <v>3.14</v>
      </c>
      <c r="H2" s="1">
        <v>228.6</v>
      </c>
      <c r="I2" s="1">
        <v>4.3001999999999999E-2</v>
      </c>
      <c r="J2" s="1">
        <v>221</v>
      </c>
    </row>
    <row r="3" spans="1:10" x14ac:dyDescent="0.35">
      <c r="A3" s="1">
        <v>3</v>
      </c>
      <c r="B3" s="1">
        <v>3.048</v>
      </c>
      <c r="C3" s="1">
        <v>6.0960000000000001</v>
      </c>
      <c r="D3" s="1">
        <f t="shared" ref="D3:D33" si="0">2*C3</f>
        <v>12.192</v>
      </c>
      <c r="E3" s="1">
        <v>0.45</v>
      </c>
      <c r="F3" s="1">
        <v>43</v>
      </c>
      <c r="G3" s="1">
        <v>3.14</v>
      </c>
      <c r="H3" s="1">
        <v>914.4</v>
      </c>
      <c r="I3" s="1">
        <v>2.4025000000000001E-2</v>
      </c>
      <c r="J3" s="1">
        <v>921</v>
      </c>
    </row>
    <row r="4" spans="1:10" x14ac:dyDescent="0.35">
      <c r="A4" s="1">
        <v>4</v>
      </c>
      <c r="B4" s="1">
        <v>3.048</v>
      </c>
      <c r="C4" s="1">
        <v>6.0960000000000001</v>
      </c>
      <c r="D4" s="1">
        <f t="shared" si="0"/>
        <v>12.192</v>
      </c>
      <c r="E4" s="1">
        <v>43.28</v>
      </c>
      <c r="F4" s="1">
        <v>103.4</v>
      </c>
      <c r="G4" s="1">
        <v>3.14</v>
      </c>
      <c r="H4" s="1">
        <v>213.36</v>
      </c>
      <c r="I4" s="1">
        <v>0.50804899999999997</v>
      </c>
      <c r="J4" s="1">
        <v>220</v>
      </c>
    </row>
    <row r="5" spans="1:10" x14ac:dyDescent="0.35">
      <c r="A5" s="1">
        <v>5</v>
      </c>
      <c r="B5" s="1">
        <v>1.524</v>
      </c>
      <c r="C5" s="1">
        <v>3.048</v>
      </c>
      <c r="D5" s="1">
        <f t="shared" si="0"/>
        <v>6.0960000000000001</v>
      </c>
      <c r="E5" s="1">
        <v>5.26</v>
      </c>
      <c r="F5" s="1">
        <v>19.79</v>
      </c>
      <c r="G5" s="1">
        <v>3.14</v>
      </c>
      <c r="H5" s="1">
        <v>259.08</v>
      </c>
      <c r="I5" s="1">
        <v>2.7441E-2</v>
      </c>
      <c r="J5" s="1">
        <v>263</v>
      </c>
    </row>
    <row r="6" spans="1:10" x14ac:dyDescent="0.35">
      <c r="A6" s="1">
        <v>6</v>
      </c>
      <c r="B6" s="1">
        <v>3.81</v>
      </c>
      <c r="C6" s="1">
        <v>7.62</v>
      </c>
      <c r="D6" s="1">
        <f t="shared" si="0"/>
        <v>15.24</v>
      </c>
      <c r="E6" s="1">
        <v>4.03</v>
      </c>
      <c r="F6" s="1">
        <v>35.049999999999997</v>
      </c>
      <c r="G6" s="1">
        <v>3.14</v>
      </c>
      <c r="H6" s="1">
        <v>91.44</v>
      </c>
      <c r="I6" s="1">
        <v>0.28007199999999999</v>
      </c>
      <c r="J6" s="1">
        <v>101</v>
      </c>
    </row>
    <row r="7" spans="1:10" x14ac:dyDescent="0.35">
      <c r="A7" s="1">
        <v>7</v>
      </c>
      <c r="B7" s="1">
        <v>2.286</v>
      </c>
      <c r="C7" s="1">
        <v>4.5720000000000001</v>
      </c>
      <c r="D7" s="1">
        <f t="shared" si="0"/>
        <v>9.1440000000000001</v>
      </c>
      <c r="E7" s="1">
        <v>14.1</v>
      </c>
      <c r="F7" s="1">
        <v>1004.04</v>
      </c>
      <c r="G7" s="1">
        <v>3.14</v>
      </c>
      <c r="H7" s="1">
        <v>146.304</v>
      </c>
      <c r="I7" s="1">
        <v>1.9765999999999999E-2</v>
      </c>
      <c r="J7" s="1">
        <v>141</v>
      </c>
    </row>
    <row r="8" spans="1:10" x14ac:dyDescent="0.35">
      <c r="A8" s="1">
        <v>8</v>
      </c>
      <c r="B8" s="1">
        <v>1.524</v>
      </c>
      <c r="C8" s="1">
        <v>3.048</v>
      </c>
      <c r="D8" s="1">
        <f t="shared" si="0"/>
        <v>6.0960000000000001</v>
      </c>
      <c r="E8" s="1">
        <v>29.64</v>
      </c>
      <c r="F8" s="1">
        <v>113.77</v>
      </c>
      <c r="G8" s="1">
        <v>3.14</v>
      </c>
      <c r="H8" s="1">
        <v>76.2</v>
      </c>
      <c r="I8" s="1">
        <v>0.190831</v>
      </c>
      <c r="J8" s="1">
        <v>76</v>
      </c>
    </row>
    <row r="9" spans="1:10" x14ac:dyDescent="0.35">
      <c r="A9" s="1">
        <v>9</v>
      </c>
      <c r="B9" s="1">
        <v>3.81</v>
      </c>
      <c r="C9" s="1">
        <v>7.62</v>
      </c>
      <c r="D9" s="1">
        <f t="shared" si="0"/>
        <v>15.24</v>
      </c>
      <c r="E9" s="1">
        <v>0.68</v>
      </c>
      <c r="F9" s="1">
        <v>68.94</v>
      </c>
      <c r="G9" s="1">
        <v>3.14</v>
      </c>
      <c r="H9" s="1">
        <v>106.68</v>
      </c>
      <c r="I9" s="1">
        <v>7.7591999999999994E-2</v>
      </c>
      <c r="J9" s="1">
        <v>98</v>
      </c>
    </row>
    <row r="10" spans="1:10" x14ac:dyDescent="0.35">
      <c r="A10" s="1">
        <v>11</v>
      </c>
      <c r="B10" s="1">
        <v>3.2004000000000001</v>
      </c>
      <c r="C10" s="1">
        <v>6.4009999999999998</v>
      </c>
      <c r="D10" s="1">
        <f t="shared" si="0"/>
        <v>12.802</v>
      </c>
      <c r="E10" s="1">
        <v>1.806</v>
      </c>
      <c r="F10" s="1">
        <v>871.45</v>
      </c>
      <c r="G10" s="1">
        <v>3.14</v>
      </c>
      <c r="H10" s="1">
        <v>182.88</v>
      </c>
      <c r="I10" s="1">
        <v>3.8332999999999999E-2</v>
      </c>
      <c r="J10" s="1">
        <v>184</v>
      </c>
    </row>
    <row r="11" spans="1:10" x14ac:dyDescent="0.35">
      <c r="A11" s="1">
        <v>12</v>
      </c>
      <c r="B11" s="1">
        <v>1.524</v>
      </c>
      <c r="C11" s="1">
        <v>3.048</v>
      </c>
      <c r="D11" s="1">
        <f t="shared" si="0"/>
        <v>6.0960000000000001</v>
      </c>
      <c r="E11" s="1">
        <v>0.123</v>
      </c>
      <c r="F11" s="1">
        <v>248.76</v>
      </c>
      <c r="G11" s="1">
        <v>3.14</v>
      </c>
      <c r="H11" s="1">
        <v>42.671999999999997</v>
      </c>
      <c r="I11" s="1">
        <v>1.188E-2</v>
      </c>
      <c r="J11" s="1">
        <v>39</v>
      </c>
    </row>
    <row r="12" spans="1:10" x14ac:dyDescent="0.35">
      <c r="A12" s="1">
        <v>13</v>
      </c>
      <c r="B12" s="1">
        <v>1.524</v>
      </c>
      <c r="C12" s="1">
        <v>3.048</v>
      </c>
      <c r="D12" s="1">
        <f t="shared" si="0"/>
        <v>6.0960000000000001</v>
      </c>
      <c r="E12" s="1">
        <v>12.84</v>
      </c>
      <c r="F12" s="1">
        <v>29.26</v>
      </c>
      <c r="G12" s="1">
        <v>3.14</v>
      </c>
      <c r="H12" s="1">
        <v>109.72799999999999</v>
      </c>
      <c r="I12" s="1">
        <v>0.25307499999999999</v>
      </c>
      <c r="J12" s="1">
        <v>118</v>
      </c>
    </row>
    <row r="13" spans="1:10" x14ac:dyDescent="0.35">
      <c r="A13" s="1">
        <v>15</v>
      </c>
      <c r="B13" s="1">
        <v>1.524</v>
      </c>
      <c r="C13" s="1">
        <v>3.048</v>
      </c>
      <c r="D13" s="1">
        <f t="shared" si="0"/>
        <v>6.0960000000000001</v>
      </c>
      <c r="E13" s="1">
        <v>13.8</v>
      </c>
      <c r="F13" s="1">
        <v>57.76</v>
      </c>
      <c r="G13" s="1">
        <v>3.14</v>
      </c>
      <c r="H13" s="1">
        <v>96.012</v>
      </c>
      <c r="I13" s="1">
        <v>9.7464999999999996E-2</v>
      </c>
      <c r="J13" s="1">
        <v>102</v>
      </c>
    </row>
    <row r="14" spans="1:10" x14ac:dyDescent="0.35">
      <c r="A14" s="1">
        <v>16</v>
      </c>
      <c r="B14" s="1">
        <v>3.048</v>
      </c>
      <c r="C14" s="1">
        <v>6.0960000000000001</v>
      </c>
      <c r="D14" s="1">
        <f t="shared" si="0"/>
        <v>12.192</v>
      </c>
      <c r="E14" s="1">
        <v>13.118</v>
      </c>
      <c r="F14" s="1">
        <v>77.8</v>
      </c>
      <c r="G14" s="1">
        <v>3.14</v>
      </c>
      <c r="H14" s="1">
        <v>53.34</v>
      </c>
      <c r="I14" s="1">
        <v>1</v>
      </c>
      <c r="J14" s="1">
        <v>46</v>
      </c>
    </row>
    <row r="15" spans="1:10" x14ac:dyDescent="0.35">
      <c r="A15" s="1">
        <v>21</v>
      </c>
      <c r="B15" s="1">
        <v>2.286</v>
      </c>
      <c r="C15" s="1">
        <v>4.5720000000000001</v>
      </c>
      <c r="D15" s="1">
        <f t="shared" si="0"/>
        <v>9.1440000000000001</v>
      </c>
      <c r="E15" s="1">
        <v>0.46899999999999997</v>
      </c>
      <c r="F15" s="1">
        <v>454.56</v>
      </c>
      <c r="G15" s="1">
        <v>3.14</v>
      </c>
      <c r="H15" s="1">
        <v>60.96</v>
      </c>
      <c r="I15" s="1">
        <v>2.5565999999999998E-2</v>
      </c>
      <c r="J15" s="1">
        <v>58</v>
      </c>
    </row>
    <row r="16" spans="1:10" x14ac:dyDescent="0.35">
      <c r="A16" s="1">
        <v>24</v>
      </c>
      <c r="B16" s="1">
        <v>3.048</v>
      </c>
      <c r="C16" s="1">
        <v>6.0960000000000001</v>
      </c>
      <c r="D16" s="1">
        <f t="shared" si="0"/>
        <v>12.192</v>
      </c>
      <c r="E16" s="1">
        <v>67</v>
      </c>
      <c r="F16" s="1">
        <v>2013.26</v>
      </c>
      <c r="G16" s="1">
        <v>3.14</v>
      </c>
      <c r="H16" s="1">
        <v>207.26400000000001</v>
      </c>
      <c r="I16" s="1">
        <v>3.7236999999999999E-2</v>
      </c>
      <c r="J16" s="1">
        <v>209</v>
      </c>
    </row>
    <row r="17" spans="1:10" x14ac:dyDescent="0.35">
      <c r="A17" s="1">
        <v>25</v>
      </c>
      <c r="B17" s="1">
        <v>1.524</v>
      </c>
      <c r="C17" s="1">
        <v>3.048</v>
      </c>
      <c r="D17" s="1">
        <f t="shared" si="0"/>
        <v>6.0960000000000001</v>
      </c>
      <c r="E17" s="1">
        <v>7.1900000000000006E-2</v>
      </c>
      <c r="F17" s="1">
        <v>39.783000000000001</v>
      </c>
      <c r="G17" s="1">
        <v>3.14</v>
      </c>
      <c r="H17" s="1">
        <v>67.055999999999997</v>
      </c>
      <c r="I17" s="1">
        <v>9.9349999999999994E-3</v>
      </c>
      <c r="J17" s="1">
        <v>60</v>
      </c>
    </row>
    <row r="18" spans="1:10" x14ac:dyDescent="0.35">
      <c r="A18" s="1">
        <v>27</v>
      </c>
      <c r="B18" s="1">
        <v>2.1335999999999999</v>
      </c>
      <c r="C18" s="1">
        <v>4.2670000000000003</v>
      </c>
      <c r="D18" s="1">
        <f t="shared" si="0"/>
        <v>8.5340000000000007</v>
      </c>
      <c r="E18" s="1">
        <v>1.504</v>
      </c>
      <c r="F18" s="1">
        <v>88.41</v>
      </c>
      <c r="G18" s="1">
        <v>3.14</v>
      </c>
      <c r="H18" s="1">
        <v>396.24</v>
      </c>
      <c r="I18" s="1">
        <v>1.2031999999999999E-2</v>
      </c>
      <c r="J18" s="1">
        <v>404</v>
      </c>
    </row>
    <row r="19" spans="1:10" x14ac:dyDescent="0.35">
      <c r="A19" s="1">
        <v>30</v>
      </c>
      <c r="B19" s="1">
        <v>1.5249999999999999</v>
      </c>
      <c r="C19" s="1">
        <v>3.05</v>
      </c>
      <c r="D19" s="1">
        <f t="shared" si="0"/>
        <v>6.1</v>
      </c>
      <c r="E19" s="1">
        <v>5.22</v>
      </c>
      <c r="F19" s="1">
        <v>27.61</v>
      </c>
      <c r="G19" s="1">
        <v>3.14</v>
      </c>
      <c r="H19" s="1">
        <v>152</v>
      </c>
      <c r="I19" s="1">
        <v>4.3001999999999999E-2</v>
      </c>
      <c r="J19" s="1">
        <v>144</v>
      </c>
    </row>
    <row r="20" spans="1:10" x14ac:dyDescent="0.35">
      <c r="A20" s="1">
        <v>32</v>
      </c>
      <c r="B20" s="1">
        <v>3.05</v>
      </c>
      <c r="C20" s="1">
        <v>6.1</v>
      </c>
      <c r="D20" s="1">
        <f t="shared" si="0"/>
        <v>12.2</v>
      </c>
      <c r="E20" s="1">
        <v>2.84</v>
      </c>
      <c r="F20" s="1">
        <v>24.6</v>
      </c>
      <c r="G20" s="1">
        <v>3.14</v>
      </c>
      <c r="H20" s="1">
        <v>168</v>
      </c>
      <c r="I20" s="1">
        <v>9.2965999999999993E-2</v>
      </c>
      <c r="J20" s="1">
        <v>173</v>
      </c>
    </row>
    <row r="21" spans="1:10" x14ac:dyDescent="0.35">
      <c r="A21" s="1">
        <v>38</v>
      </c>
      <c r="B21" s="1">
        <v>1.22</v>
      </c>
      <c r="C21" s="1">
        <v>2.44</v>
      </c>
      <c r="D21" s="1">
        <f t="shared" si="0"/>
        <v>4.88</v>
      </c>
      <c r="E21" s="1">
        <v>0.96</v>
      </c>
      <c r="F21" s="1">
        <v>1456.05</v>
      </c>
      <c r="G21" s="1">
        <v>3.14</v>
      </c>
      <c r="H21" s="1">
        <v>30</v>
      </c>
      <c r="I21" s="1">
        <v>7.9900000000000006E-3</v>
      </c>
      <c r="J21" s="1">
        <v>32</v>
      </c>
    </row>
    <row r="22" spans="1:10" x14ac:dyDescent="0.35">
      <c r="A22" s="1">
        <v>39</v>
      </c>
      <c r="B22" s="1">
        <v>1.22</v>
      </c>
      <c r="C22" s="1">
        <v>2.44</v>
      </c>
      <c r="D22" s="1">
        <f t="shared" si="0"/>
        <v>4.88</v>
      </c>
      <c r="E22" s="1">
        <v>13.8</v>
      </c>
      <c r="F22" s="1">
        <v>36.24</v>
      </c>
      <c r="G22" s="1">
        <v>3.14</v>
      </c>
      <c r="H22" s="1">
        <v>64</v>
      </c>
      <c r="I22" s="1">
        <v>0.25307499999999999</v>
      </c>
      <c r="J22" s="1">
        <v>71</v>
      </c>
    </row>
    <row r="23" spans="1:10" x14ac:dyDescent="0.35">
      <c r="A23" s="1">
        <v>43</v>
      </c>
      <c r="B23" s="1">
        <v>1.83</v>
      </c>
      <c r="C23" s="1">
        <v>3.66</v>
      </c>
      <c r="D23" s="1">
        <f t="shared" si="0"/>
        <v>7.32</v>
      </c>
      <c r="E23" s="1">
        <v>3.13</v>
      </c>
      <c r="F23" s="1">
        <v>28.55</v>
      </c>
      <c r="G23" s="1">
        <v>3.14</v>
      </c>
      <c r="H23" s="1">
        <v>96</v>
      </c>
      <c r="I23" s="1">
        <v>5.6501000000000003E-2</v>
      </c>
      <c r="J23" s="1">
        <v>89</v>
      </c>
    </row>
    <row r="24" spans="1:10" x14ac:dyDescent="0.35">
      <c r="A24" s="1">
        <v>45</v>
      </c>
      <c r="B24" s="1">
        <v>6</v>
      </c>
      <c r="C24" s="1">
        <v>12</v>
      </c>
      <c r="D24" s="1">
        <f t="shared" si="0"/>
        <v>24</v>
      </c>
      <c r="E24" s="1">
        <v>0.04</v>
      </c>
      <c r="F24" s="1">
        <v>86</v>
      </c>
      <c r="G24" s="1">
        <v>3.14</v>
      </c>
      <c r="H24" s="1">
        <v>90</v>
      </c>
      <c r="I24" s="1">
        <v>0.53804600000000002</v>
      </c>
      <c r="J24" s="1">
        <v>31</v>
      </c>
    </row>
    <row r="25" spans="1:10" x14ac:dyDescent="0.35">
      <c r="A25" s="1">
        <v>46</v>
      </c>
      <c r="B25" s="1">
        <v>6</v>
      </c>
      <c r="C25" s="1">
        <v>12</v>
      </c>
      <c r="D25" s="1">
        <f t="shared" si="0"/>
        <v>24</v>
      </c>
      <c r="E25" s="1">
        <v>1.3</v>
      </c>
      <c r="F25" s="1">
        <v>86</v>
      </c>
      <c r="G25" s="1">
        <v>3.14</v>
      </c>
      <c r="H25" s="1">
        <v>120</v>
      </c>
      <c r="I25" s="1">
        <v>0.53804600000000002</v>
      </c>
      <c r="J25" s="1">
        <v>52</v>
      </c>
    </row>
    <row r="26" spans="1:10" x14ac:dyDescent="0.35">
      <c r="A26" s="1">
        <v>47</v>
      </c>
      <c r="B26" s="1">
        <v>6</v>
      </c>
      <c r="C26" s="1">
        <v>12</v>
      </c>
      <c r="D26" s="1">
        <f t="shared" si="0"/>
        <v>24</v>
      </c>
      <c r="E26" s="1">
        <v>2.4</v>
      </c>
      <c r="F26" s="1">
        <v>92</v>
      </c>
      <c r="G26" s="1">
        <v>3.14</v>
      </c>
      <c r="H26" s="1">
        <v>90</v>
      </c>
      <c r="I26" s="1">
        <v>0.53804600000000002</v>
      </c>
      <c r="J26" s="1">
        <v>90</v>
      </c>
    </row>
    <row r="27" spans="1:10" x14ac:dyDescent="0.35">
      <c r="A27" s="1">
        <v>48</v>
      </c>
      <c r="B27" s="1">
        <v>6</v>
      </c>
      <c r="C27" s="1">
        <v>12</v>
      </c>
      <c r="D27" s="1">
        <f t="shared" si="0"/>
        <v>24</v>
      </c>
      <c r="E27" s="1">
        <v>1.4</v>
      </c>
      <c r="F27" s="1">
        <v>92</v>
      </c>
      <c r="G27" s="1">
        <v>3.14</v>
      </c>
      <c r="H27" s="1">
        <v>60</v>
      </c>
      <c r="I27" s="1">
        <v>0.53804600000000002</v>
      </c>
      <c r="J27" s="1">
        <v>63</v>
      </c>
    </row>
    <row r="28" spans="1:10" x14ac:dyDescent="0.35">
      <c r="A28" s="1">
        <v>49</v>
      </c>
      <c r="B28" s="1">
        <v>6</v>
      </c>
      <c r="C28" s="1">
        <v>12</v>
      </c>
      <c r="D28" s="1">
        <f t="shared" si="0"/>
        <v>24</v>
      </c>
      <c r="E28" s="1">
        <v>0.7</v>
      </c>
      <c r="F28" s="1">
        <v>92</v>
      </c>
      <c r="G28" s="1">
        <v>3.14</v>
      </c>
      <c r="H28" s="1">
        <v>90</v>
      </c>
      <c r="I28" s="1">
        <v>0.53804600000000002</v>
      </c>
      <c r="J28" s="1">
        <v>46</v>
      </c>
    </row>
    <row r="29" spans="1:10" x14ac:dyDescent="0.35">
      <c r="A29" s="1">
        <v>52</v>
      </c>
      <c r="B29" s="1">
        <v>7.5</v>
      </c>
      <c r="C29" s="1">
        <v>15</v>
      </c>
      <c r="D29" s="1">
        <f t="shared" si="0"/>
        <v>30</v>
      </c>
      <c r="E29" s="1">
        <v>0.31</v>
      </c>
      <c r="F29" s="1">
        <v>203</v>
      </c>
      <c r="G29" s="1">
        <v>3.14</v>
      </c>
      <c r="H29" s="1">
        <v>160</v>
      </c>
      <c r="I29" s="1">
        <v>0.56504399999999999</v>
      </c>
      <c r="J29" s="1">
        <v>86</v>
      </c>
    </row>
    <row r="30" spans="1:10" x14ac:dyDescent="0.35">
      <c r="A30" s="1">
        <v>53</v>
      </c>
      <c r="B30" s="1">
        <v>1</v>
      </c>
      <c r="C30" s="1">
        <v>2</v>
      </c>
      <c r="D30" s="1">
        <f t="shared" si="0"/>
        <v>4</v>
      </c>
      <c r="E30" s="1">
        <v>0.01</v>
      </c>
      <c r="F30" s="1">
        <v>7.5</v>
      </c>
      <c r="G30" s="1">
        <v>3.14</v>
      </c>
      <c r="H30" s="1">
        <v>120</v>
      </c>
      <c r="I30" s="1">
        <v>2.8310000000000002E-3</v>
      </c>
      <c r="J30" s="1">
        <v>119</v>
      </c>
    </row>
    <row r="31" spans="1:10" x14ac:dyDescent="0.35">
      <c r="A31" s="1">
        <v>55</v>
      </c>
      <c r="B31" s="1">
        <v>3.7</v>
      </c>
      <c r="C31" s="1">
        <v>7.4</v>
      </c>
      <c r="D31" s="1">
        <f t="shared" si="0"/>
        <v>14.8</v>
      </c>
      <c r="E31" s="1">
        <v>123</v>
      </c>
      <c r="F31" s="1">
        <v>1402.6</v>
      </c>
      <c r="G31" s="1">
        <v>3.14</v>
      </c>
      <c r="H31" s="1">
        <v>200</v>
      </c>
      <c r="I31" s="1">
        <v>0.160084</v>
      </c>
      <c r="J31" s="1">
        <v>205</v>
      </c>
    </row>
    <row r="32" spans="1:10" x14ac:dyDescent="0.35">
      <c r="A32" s="1">
        <v>60</v>
      </c>
      <c r="B32" s="1">
        <v>1.875</v>
      </c>
      <c r="C32" s="1">
        <v>3.75</v>
      </c>
      <c r="D32" s="1">
        <f t="shared" si="0"/>
        <v>7.5</v>
      </c>
      <c r="E32" s="1">
        <v>4.0000000000000002E-4</v>
      </c>
      <c r="F32" s="1">
        <v>13.7</v>
      </c>
      <c r="G32" s="1">
        <v>3.14</v>
      </c>
      <c r="H32" s="1">
        <v>140</v>
      </c>
      <c r="I32" s="1">
        <v>1.1549E-2</v>
      </c>
      <c r="J32" s="1">
        <v>133</v>
      </c>
    </row>
    <row r="33" spans="1:10" x14ac:dyDescent="0.35">
      <c r="A33" s="1">
        <v>61</v>
      </c>
      <c r="B33" s="1">
        <v>1.5</v>
      </c>
      <c r="C33" s="1">
        <v>3</v>
      </c>
      <c r="D33" s="1">
        <f t="shared" si="0"/>
        <v>6</v>
      </c>
      <c r="E33" s="1">
        <v>8.9</v>
      </c>
      <c r="F33" s="1">
        <v>495.61</v>
      </c>
      <c r="G33" s="1">
        <v>3.14</v>
      </c>
      <c r="H33" s="1">
        <v>250</v>
      </c>
      <c r="I33" s="1">
        <v>6.045E-3</v>
      </c>
      <c r="J33" s="1">
        <v>256</v>
      </c>
    </row>
    <row r="34" spans="1:10" x14ac:dyDescent="0.35">
      <c r="D34" s="1"/>
    </row>
    <row r="37" spans="1:10" x14ac:dyDescent="0.35">
      <c r="A37" t="s">
        <v>1</v>
      </c>
    </row>
    <row r="38" spans="1:10" x14ac:dyDescent="0.35">
      <c r="A38" t="s">
        <v>547</v>
      </c>
    </row>
    <row r="39" spans="1:10" x14ac:dyDescent="0.35">
      <c r="A39" t="s">
        <v>548</v>
      </c>
    </row>
    <row r="40" spans="1:10" x14ac:dyDescent="0.35">
      <c r="A40" t="s">
        <v>549</v>
      </c>
    </row>
    <row r="41" spans="1:10" x14ac:dyDescent="0.35">
      <c r="A41" t="s">
        <v>550</v>
      </c>
    </row>
    <row r="42" spans="1:10" x14ac:dyDescent="0.35">
      <c r="A42" t="s">
        <v>551</v>
      </c>
    </row>
    <row r="43" spans="1:10" x14ac:dyDescent="0.35">
      <c r="A43" t="s">
        <v>552</v>
      </c>
    </row>
    <row r="44" spans="1:10" x14ac:dyDescent="0.35">
      <c r="A44" t="s">
        <v>553</v>
      </c>
    </row>
    <row r="45" spans="1:10" x14ac:dyDescent="0.35">
      <c r="A45" t="s">
        <v>554</v>
      </c>
    </row>
    <row r="46" spans="1:10" x14ac:dyDescent="0.35">
      <c r="A46" t="s">
        <v>555</v>
      </c>
    </row>
    <row r="47" spans="1:10" x14ac:dyDescent="0.35">
      <c r="A47" t="s">
        <v>556</v>
      </c>
    </row>
    <row r="48" spans="1:10" x14ac:dyDescent="0.35">
      <c r="A48" t="s">
        <v>557</v>
      </c>
    </row>
    <row r="49" spans="1:1" x14ac:dyDescent="0.35">
      <c r="A49" t="s">
        <v>558</v>
      </c>
    </row>
    <row r="50" spans="1:1" x14ac:dyDescent="0.35">
      <c r="A50" t="s">
        <v>559</v>
      </c>
    </row>
    <row r="51" spans="1:1" x14ac:dyDescent="0.35">
      <c r="A51" t="s">
        <v>560</v>
      </c>
    </row>
    <row r="52" spans="1:1" x14ac:dyDescent="0.35">
      <c r="A52" t="s">
        <v>561</v>
      </c>
    </row>
    <row r="53" spans="1:1" x14ac:dyDescent="0.35">
      <c r="A53" t="s">
        <v>533</v>
      </c>
    </row>
    <row r="54" spans="1:1" x14ac:dyDescent="0.35">
      <c r="A54" t="s">
        <v>562</v>
      </c>
    </row>
    <row r="55" spans="1:1" x14ac:dyDescent="0.35">
      <c r="A55" t="s">
        <v>563</v>
      </c>
    </row>
    <row r="56" spans="1:1" x14ac:dyDescent="0.35">
      <c r="A56" t="s">
        <v>564</v>
      </c>
    </row>
    <row r="57" spans="1:1" x14ac:dyDescent="0.35">
      <c r="A57" t="s">
        <v>565</v>
      </c>
    </row>
    <row r="58" spans="1:1" x14ac:dyDescent="0.35">
      <c r="A58" t="s">
        <v>566</v>
      </c>
    </row>
    <row r="59" spans="1:1" x14ac:dyDescent="0.35">
      <c r="A59" t="s">
        <v>567</v>
      </c>
    </row>
    <row r="60" spans="1:1" x14ac:dyDescent="0.35">
      <c r="A60" t="s">
        <v>539</v>
      </c>
    </row>
    <row r="61" spans="1:1" x14ac:dyDescent="0.35">
      <c r="A61" t="s">
        <v>540</v>
      </c>
    </row>
    <row r="62" spans="1:1" x14ac:dyDescent="0.35">
      <c r="A62" t="s">
        <v>568</v>
      </c>
    </row>
    <row r="63" spans="1:1" x14ac:dyDescent="0.35">
      <c r="A63" t="s">
        <v>569</v>
      </c>
    </row>
    <row r="64" spans="1:1" x14ac:dyDescent="0.35">
      <c r="A64" t="s">
        <v>335</v>
      </c>
    </row>
    <row r="65" spans="1:1" x14ac:dyDescent="0.35">
      <c r="A65" t="s">
        <v>570</v>
      </c>
    </row>
    <row r="66" spans="1:1" x14ac:dyDescent="0.35">
      <c r="A66" t="s">
        <v>571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A5C859-224F-4369-B885-F0613DA6AC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0.1_O2</vt:lpstr>
      <vt:lpstr>0.25_O2</vt:lpstr>
      <vt:lpstr>0.5_O2</vt:lpstr>
      <vt:lpstr>0.75_O2</vt:lpstr>
      <vt:lpstr>1.0_O2</vt:lpstr>
      <vt:lpstr>1.5_O2</vt:lpstr>
      <vt:lpstr>2.0_O2</vt:lpstr>
      <vt:lpstr>0.1_All</vt:lpstr>
      <vt:lpstr>0.25_All</vt:lpstr>
      <vt:lpstr>0.5_All</vt:lpstr>
      <vt:lpstr>0.75_All</vt:lpstr>
      <vt:lpstr>1.0_All</vt:lpstr>
      <vt:lpstr>1.5_All</vt:lpstr>
      <vt:lpstr>2.0_All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Sreelekshmi Sreelekshmi</dc:creator>
  <cp:lastModifiedBy>Sreelekshmi S</cp:lastModifiedBy>
  <dcterms:created xsi:type="dcterms:W3CDTF">2026-06-22T08:10:37Z</dcterms:created>
  <dcterms:modified xsi:type="dcterms:W3CDTF">2026-07-11T10:23:06Z</dcterms:modified>
</cp:coreProperties>
</file>